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8"/>
  <workbookPr codeName="ThisWorkbook" hidePivotFieldList="1"/>
  <mc:AlternateContent xmlns:mc="http://schemas.openxmlformats.org/markup-compatibility/2006">
    <mc:Choice Requires="x15">
      <x15ac:absPath xmlns:x15ac="http://schemas.microsoft.com/office/spreadsheetml/2010/11/ac" url="U:\"/>
    </mc:Choice>
  </mc:AlternateContent>
  <xr:revisionPtr revIDLastSave="0" documentId="13_ncr:1_{9401F79A-03D9-4075-9C4C-E164233683A9}" xr6:coauthVersionLast="36" xr6:coauthVersionMax="36" xr10:uidLastSave="{00000000-0000-0000-0000-000000000000}"/>
  <bookViews>
    <workbookView xWindow="0" yWindow="0" windowWidth="23385" windowHeight="10200" tabRatio="613" firstSheet="2" activeTab="2" xr2:uid="{00000000-000D-0000-FFFF-FFFF00000000}"/>
  </bookViews>
  <sheets>
    <sheet name="Data" sheetId="1" state="hidden" r:id="rId1"/>
    <sheet name="Calculations" sheetId="11" state="hidden" r:id="rId2"/>
    <sheet name="Dashboard" sheetId="12" r:id="rId3"/>
  </sheets>
  <externalReferences>
    <externalReference r:id="rId4"/>
  </externalReferences>
  <definedNames>
    <definedName name="_xlnm.Print_Area" localSheetId="2">Dashboard!$A$1:$AB$36</definedName>
    <definedName name="Slicer_Month_End">#N/A</definedName>
  </definedNames>
  <calcPr calcId="191029"/>
  <pivotCaches>
    <pivotCache cacheId="47" r:id="rId5"/>
  </pivotCaches>
  <extLst>
    <ext xmlns:x14="http://schemas.microsoft.com/office/spreadsheetml/2009/9/main" uri="{BBE1A952-AA13-448e-AADC-164F8A28A991}">
      <x14:slicerCaches>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5" i="1" l="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7" i="1"/>
  <c r="G6" i="1"/>
  <c r="G5" i="1"/>
  <c r="G4" i="1"/>
  <c r="G3" i="1"/>
  <c r="D59" i="11" l="1"/>
  <c r="E60" i="11" s="1"/>
  <c r="D58" i="11"/>
  <c r="E50" i="11"/>
  <c r="E49" i="11"/>
  <c r="E33" i="11" s="1"/>
  <c r="E48" i="11"/>
  <c r="D33" i="11" s="1"/>
  <c r="D53" i="11"/>
  <c r="F49" i="11" l="1"/>
  <c r="D60" i="11"/>
  <c r="D61" i="11" s="1"/>
  <c r="G49" i="11"/>
  <c r="E61" i="11" s="1"/>
  <c r="F33" i="11"/>
  <c r="X27" i="12"/>
  <c r="Z28" i="12" l="1"/>
  <c r="Z29" i="12"/>
  <c r="Z30" i="12"/>
  <c r="Z31" i="12"/>
  <c r="X28" i="12"/>
  <c r="X29" i="12"/>
  <c r="X30" i="12"/>
  <c r="X31" i="12"/>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4"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3" i="1"/>
  <c r="Z27" i="12"/>
  <c r="D51" i="11"/>
  <c r="D49" i="11"/>
  <c r="D48" i="11"/>
  <c r="D52" i="11"/>
  <c r="D50" i="11" l="1"/>
  <c r="G86" i="1"/>
  <c r="H86" i="1" s="1"/>
</calcChain>
</file>

<file path=xl/sharedStrings.xml><?xml version="1.0" encoding="utf-8"?>
<sst xmlns="http://schemas.openxmlformats.org/spreadsheetml/2006/main" count="91" uniqueCount="50">
  <si>
    <t>Month End</t>
  </si>
  <si>
    <t xml:space="preserve">Total </t>
  </si>
  <si>
    <t>Row Labels</t>
  </si>
  <si>
    <t>Grand Total</t>
  </si>
  <si>
    <t>2019</t>
  </si>
  <si>
    <t>Qtr3</t>
  </si>
  <si>
    <t>2020</t>
  </si>
  <si>
    <t>2021</t>
  </si>
  <si>
    <t>2022</t>
  </si>
  <si>
    <t>2023</t>
  </si>
  <si>
    <t>2024</t>
  </si>
  <si>
    <t>2025</t>
  </si>
  <si>
    <t>2026</t>
  </si>
  <si>
    <t>Sum of Enterprise FG</t>
  </si>
  <si>
    <t>Sum of Cemetery FG</t>
  </si>
  <si>
    <t>Sum of Cemetery WP</t>
  </si>
  <si>
    <t>Sum of Cemetery PL</t>
  </si>
  <si>
    <t xml:space="preserve">Sum of Total </t>
  </si>
  <si>
    <t>Month</t>
  </si>
  <si>
    <t>$ Change</t>
  </si>
  <si>
    <t>Quarters</t>
  </si>
  <si>
    <t>Years</t>
  </si>
  <si>
    <t>(All)</t>
  </si>
  <si>
    <t>month-year</t>
  </si>
  <si>
    <t xml:space="preserve">Total  </t>
  </si>
  <si>
    <t>% diff</t>
  </si>
  <si>
    <t>Sum of Total 2</t>
  </si>
  <si>
    <t>Annual Inventory Trajectory</t>
  </si>
  <si>
    <t>YoY inventory valuation &amp; growth rate (2020-2025)</t>
  </si>
  <si>
    <t>Year</t>
  </si>
  <si>
    <t xml:space="preserve">Growth Rate </t>
  </si>
  <si>
    <t>12-Month Trend</t>
  </si>
  <si>
    <t>Column4</t>
  </si>
  <si>
    <t>total</t>
  </si>
  <si>
    <t>total non commit</t>
  </si>
  <si>
    <t>non-commit share</t>
  </si>
  <si>
    <t>DIST FG</t>
  </si>
  <si>
    <t xml:space="preserve">MFG FG </t>
  </si>
  <si>
    <t>FG</t>
  </si>
  <si>
    <t xml:space="preserve">WP </t>
  </si>
  <si>
    <t xml:space="preserve">PL </t>
  </si>
  <si>
    <t xml:space="preserve">DIST FG (Non-Commit) </t>
  </si>
  <si>
    <t xml:space="preserve">MFG FG (Non-Commit) </t>
  </si>
  <si>
    <t>FG (Non-Commit)</t>
  </si>
  <si>
    <t xml:space="preserve"> FG (Non-Commit)</t>
  </si>
  <si>
    <t>WP</t>
  </si>
  <si>
    <t>E FG</t>
  </si>
  <si>
    <t>C FG</t>
  </si>
  <si>
    <t>C WP</t>
  </si>
  <si>
    <t>CPL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</si>
</sst>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6" formatCode="&quot;$&quot;#,##0_);[Red]\(&quot;$&quot;#,##0\)"/>
    <numFmt numFmtId="44" formatCode="_(&quot;$&quot;* #,##0.00_);_(&quot;$&quot;* \(#,##0.00\);_(&quot;$&quot;* &quot;-&quot;??_);_(@_)"/>
    <numFmt numFmtId="164" formatCode="[$-409]mmmm\-yy;@"/>
    <numFmt numFmtId="165" formatCode="[&gt;=1000000]&quot;$&quot;#,##0.0,,&quot;M&quot;;[&gt;=1000]&quot;$&quot;#,##0,&quot;K&quot;;&quot;$&quot;0"/>
    <numFmt numFmtId="166" formatCode="[&gt;=1000000]&quot;$&quot;#,##0,,&quot;M&quot;;[&gt;=1000]&quot;$&quot;#,##0,&quot;K&quot;;&quot;$&quot;0"/>
    <numFmt numFmtId="167" formatCode="0.0%"/>
    <numFmt numFmtId="168" formatCode="[Color9]\▲\ \+0.0%;[Color10]\▼\ \-\-0.0%;&quot;-&quot;"/>
    <numFmt numFmtId="169" formatCode="[Color49]\▲\ 0.0%;[Color16]\▼\ \-0.0%;&quot;-&quot;"/>
    <numFmt numFmtId="170" formatCode="[Color49]\▲\ \+0.0%;[Color16]\▼\ \-\-0.0%;&quot;-&quot;"/>
    <numFmt numFmtId="171" formatCode="0.000000000%"/>
    <numFmt numFmtId="172" formatCode="0.00000000%"/>
    <numFmt numFmtId="173" formatCode="[Color9]\▲\ \+0.0%;[Color10]\▼\ \-0.0%;&quot;-&quot;"/>
  </numFmts>
  <fonts count="10">
    <font>
      <sz val="11"/>
      <color theme="1"/>
      <name val="Calibri"/>
      <family val="2"/>
      <scheme val="minor"/>
    </font>
    <font>
      <sz val="11"/>
      <color theme="1"/>
      <name val="Calibri"/>
      <family val="2"/>
      <scheme val="minor"/>
    </font>
    <font>
      <sz val="11"/>
      <color theme="1"/>
      <name val="Segoe UI Semibold"/>
      <family val="2"/>
    </font>
    <font>
      <sz val="14"/>
      <color theme="1" tint="0.249977111117893"/>
      <name val="Segoe UI Semibold"/>
      <family val="2"/>
    </font>
    <font>
      <i/>
      <sz val="10"/>
      <color theme="1" tint="0.499984740745262"/>
      <name val="Calibri"/>
      <family val="2"/>
      <scheme val="minor"/>
    </font>
    <font>
      <sz val="11"/>
      <color theme="0"/>
      <name val="Calibri"/>
      <family val="2"/>
      <scheme val="minor"/>
    </font>
    <font>
      <b/>
      <sz val="11"/>
      <color theme="1" tint="0.249977111117893"/>
      <name val="Segoe UI Semibold"/>
      <family val="2"/>
    </font>
    <font>
      <b/>
      <sz val="10"/>
      <color theme="1" tint="0.249977111117893"/>
      <name val="Segoe UI Semibold"/>
      <family val="2"/>
    </font>
    <font>
      <sz val="11"/>
      <color theme="1" tint="0.249977111117893"/>
      <name val="Segoe UI Semibold"/>
      <family val="2"/>
    </font>
    <font>
      <sz val="10"/>
      <color theme="1"/>
      <name val="Arial Unicode MS"/>
    </font>
  </fonts>
  <fills count="5">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4" tint="0.79998168889431442"/>
        <bgColor theme="4" tint="0.79998168889431442"/>
      </patternFill>
    </fill>
  </fills>
  <borders count="8">
    <border>
      <left/>
      <right/>
      <top/>
      <bottom/>
      <diagonal/>
    </border>
    <border>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right/>
      <top style="thin">
        <color theme="4" tint="0.39997558519241921"/>
      </top>
      <bottom style="thin">
        <color theme="4" tint="0.39997558519241921"/>
      </bottom>
      <diagonal/>
    </border>
  </borders>
  <cellStyleXfs count="3">
    <xf numFmtId="0" fontId="0" fillId="0" borderId="0"/>
    <xf numFmtId="44" fontId="1" fillId="0" borderId="0" applyFont="0" applyFill="0" applyBorder="0" applyAlignment="0" applyProtection="0"/>
    <xf numFmtId="9" fontId="1" fillId="0" borderId="0" applyFont="0" applyFill="0" applyBorder="0" applyAlignment="0" applyProtection="0"/>
  </cellStyleXfs>
  <cellXfs count="42">
    <xf numFmtId="0" fontId="0" fillId="0" borderId="0" xfId="0"/>
    <xf numFmtId="14" fontId="0" fillId="0" borderId="0" xfId="0" applyNumberFormat="1"/>
    <xf numFmtId="44" fontId="0" fillId="0" borderId="0" xfId="1" applyFont="1"/>
    <xf numFmtId="0" fontId="0" fillId="0" borderId="0" xfId="0" applyAlignment="1">
      <alignment horizontal="center"/>
    </xf>
    <xf numFmtId="44" fontId="0" fillId="0" borderId="0" xfId="0" applyNumberFormat="1"/>
    <xf numFmtId="44" fontId="0" fillId="0" borderId="0" xfId="1" applyFont="1" applyAlignment="1">
      <alignment vertical="top"/>
    </xf>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165" fontId="0" fillId="0" borderId="0" xfId="0" applyNumberFormat="1"/>
    <xf numFmtId="6" fontId="0" fillId="0" borderId="0" xfId="0" applyNumberFormat="1"/>
    <xf numFmtId="0" fontId="0" fillId="2" borderId="0" xfId="0" applyFill="1"/>
    <xf numFmtId="166" fontId="0" fillId="0" borderId="0" xfId="0" applyNumberFormat="1"/>
    <xf numFmtId="10" fontId="0" fillId="0" borderId="0" xfId="0" applyNumberFormat="1"/>
    <xf numFmtId="167" fontId="0" fillId="0" borderId="0" xfId="2" applyNumberFormat="1" applyFont="1"/>
    <xf numFmtId="167" fontId="0" fillId="0" borderId="0" xfId="2" applyNumberFormat="1" applyFont="1" applyAlignment="1">
      <alignment horizontal="center"/>
    </xf>
    <xf numFmtId="0" fontId="7" fillId="2" borderId="1" xfId="0" applyFont="1" applyFill="1" applyBorder="1" applyAlignment="1">
      <alignment horizontal="left" vertical="center" indent="1"/>
    </xf>
    <xf numFmtId="0" fontId="7" fillId="3" borderId="1" xfId="0" applyFont="1" applyFill="1" applyBorder="1" applyAlignment="1">
      <alignment horizontal="left" vertical="center" indent="1"/>
    </xf>
    <xf numFmtId="0" fontId="7" fillId="3" borderId="4" xfId="0" applyFont="1" applyFill="1" applyBorder="1" applyAlignment="1">
      <alignment horizontal="left" vertical="center" indent="1"/>
    </xf>
    <xf numFmtId="0" fontId="8" fillId="2" borderId="3" xfId="0" applyFont="1" applyFill="1" applyBorder="1" applyAlignment="1">
      <alignment horizontal="center" vertical="center"/>
    </xf>
    <xf numFmtId="0" fontId="8" fillId="2" borderId="1" xfId="0" applyFont="1" applyFill="1" applyBorder="1" applyAlignment="1">
      <alignment horizontal="left" vertical="center" indent="1"/>
    </xf>
    <xf numFmtId="0" fontId="8" fillId="2" borderId="2" xfId="0" applyFont="1" applyFill="1" applyBorder="1" applyAlignment="1">
      <alignment horizontal="right" vertical="center"/>
    </xf>
    <xf numFmtId="0" fontId="7" fillId="3" borderId="3" xfId="0" applyFont="1" applyFill="1" applyBorder="1" applyAlignment="1">
      <alignment horizontal="right" vertical="center" indent="2"/>
    </xf>
    <xf numFmtId="0" fontId="7" fillId="2" borderId="3" xfId="0" applyFont="1" applyFill="1" applyBorder="1" applyAlignment="1">
      <alignment horizontal="right" vertical="center" indent="2"/>
    </xf>
    <xf numFmtId="0" fontId="7" fillId="3" borderId="3" xfId="0" applyFont="1" applyFill="1" applyBorder="1" applyAlignment="1">
      <alignment horizontal="right" vertical="center"/>
    </xf>
    <xf numFmtId="0" fontId="7" fillId="3" borderId="6" xfId="0" applyFont="1" applyFill="1" applyBorder="1" applyAlignment="1">
      <alignment horizontal="right" vertical="center" indent="2"/>
    </xf>
    <xf numFmtId="14" fontId="5" fillId="0" borderId="0" xfId="0" applyNumberFormat="1" applyFont="1"/>
    <xf numFmtId="10" fontId="0" fillId="4" borderId="7" xfId="0" applyNumberFormat="1" applyFont="1" applyFill="1" applyBorder="1"/>
    <xf numFmtId="168" fontId="0" fillId="0" borderId="0" xfId="0" applyNumberFormat="1"/>
    <xf numFmtId="169" fontId="6" fillId="3" borderId="2" xfId="2" applyNumberFormat="1" applyFont="1" applyFill="1" applyBorder="1" applyAlignment="1">
      <alignment horizontal="right" vertical="center" indent="1"/>
    </xf>
    <xf numFmtId="169" fontId="6" fillId="2" borderId="2" xfId="2" applyNumberFormat="1" applyFont="1" applyFill="1" applyBorder="1" applyAlignment="1">
      <alignment horizontal="right" vertical="center" indent="1"/>
    </xf>
    <xf numFmtId="169" fontId="6" fillId="3" borderId="5" xfId="2" applyNumberFormat="1" applyFont="1" applyFill="1" applyBorder="1" applyAlignment="1">
      <alignment horizontal="right" vertical="center" indent="1"/>
    </xf>
    <xf numFmtId="170" fontId="0" fillId="0" borderId="0" xfId="0" applyNumberFormat="1"/>
    <xf numFmtId="171" fontId="0" fillId="0" borderId="0" xfId="0" applyNumberFormat="1"/>
    <xf numFmtId="172" fontId="0" fillId="0" borderId="0" xfId="0" applyNumberFormat="1"/>
    <xf numFmtId="173" fontId="0" fillId="0" borderId="0" xfId="0" applyNumberFormat="1"/>
    <xf numFmtId="0" fontId="4" fillId="2" borderId="0" xfId="0" applyFont="1" applyFill="1" applyAlignment="1">
      <alignment horizontal="center"/>
    </xf>
    <xf numFmtId="0" fontId="0" fillId="2" borderId="0" xfId="0" applyFill="1" applyAlignment="1">
      <alignment horizontal="center"/>
    </xf>
    <xf numFmtId="0" fontId="3" fillId="2" borderId="0" xfId="0" applyFont="1" applyFill="1" applyAlignment="1">
      <alignment horizontal="center"/>
    </xf>
    <xf numFmtId="0" fontId="2" fillId="2" borderId="0" xfId="0" applyFont="1" applyFill="1" applyAlignment="1">
      <alignment horizontal="center"/>
    </xf>
    <xf numFmtId="0" fontId="9" fillId="0" borderId="0" xfId="0" applyFont="1"/>
  </cellXfs>
  <cellStyles count="3">
    <cellStyle name="Currency" xfId="1" builtinId="4"/>
    <cellStyle name="Normal" xfId="0" builtinId="0"/>
    <cellStyle name="Percent" xfId="2" builtinId="5"/>
  </cellStyles>
  <dxfs count="17">
    <dxf>
      <numFmt numFmtId="14" formatCode="0.00%"/>
    </dxf>
    <dxf>
      <numFmt numFmtId="165" formatCode="[&gt;=1000000]&quot;$&quot;#,##0.0,,&quot;M&quot;;[&gt;=1000]&quot;$&quot;#,##0,&quot;K&quot;;&quot;$&quot;0"/>
    </dxf>
    <dxf>
      <numFmt numFmtId="165" formatCode="[&gt;=1000000]&quot;$&quot;#,##0.0,,&quot;M&quot;;[&gt;=1000]&quot;$&quot;#,##0,&quot;K&quot;;&quot;$&quot;0"/>
    </dxf>
    <dxf>
      <numFmt numFmtId="164" formatCode="[$-409]mmmm\-yy;@"/>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numFmt numFmtId="165" formatCode="[&gt;=1000000]&quot;$&quot;#,##0.0,,&quot;M&quot;;[&gt;=1000]&quot;$&quot;#,##0,&quot;K&quot;;&quot;$&quot;0"/>
    </dxf>
    <dxf>
      <font>
        <sz val="9"/>
        <color theme="1" tint="0.24994659260841701"/>
        <name val="Segoe UI Semibold"/>
        <family val="2"/>
        <scheme val="none"/>
      </font>
      <border diagonalUp="0" diagonalDown="0">
        <left style="thin">
          <color theme="0" tint="-0.14996795556505021"/>
        </left>
        <right style="thin">
          <color theme="0" tint="-0.14996795556505021"/>
        </right>
        <top style="thin">
          <color theme="0" tint="-0.14996795556505021"/>
        </top>
        <bottom/>
        <vertical/>
        <horizontal/>
      </border>
    </dxf>
    <dxf>
      <font>
        <sz val="9"/>
        <color theme="1" tint="0.34998626667073579"/>
      </font>
      <fill>
        <patternFill patternType="solid">
          <bgColor theme="0" tint="-4.9989318521683403E-2"/>
        </patternFill>
      </fill>
      <border diagonalUp="0" diagonalDown="0">
        <left style="thin">
          <color theme="0" tint="-0.14996795556505021"/>
        </left>
        <right style="thin">
          <color theme="0" tint="-0.14996795556505021"/>
        </right>
        <top style="thin">
          <color theme="0" tint="-0.14996795556505021"/>
        </top>
        <bottom style="thin">
          <color theme="0" tint="-0.14996795556505021"/>
        </bottom>
        <vertical/>
        <horizontal/>
      </border>
    </dxf>
  </dxfs>
  <tableStyles count="1" defaultTableStyle="TableStyleMedium2" defaultPivotStyle="PivotStyleLight16">
    <tableStyle name="SlicerStyleLight1 2" pivot="0" table="0" count="10" xr9:uid="{78127F53-581E-46A0-8234-C6DDCA42F42C}">
      <tableStyleElement type="wholeTable" dxfId="16"/>
      <tableStyleElement type="headerRow" dxfId="15"/>
    </tableStyle>
  </tableStyles>
  <colors>
    <mruColors>
      <color rgb="FF9A0000"/>
      <color rgb="FFA80000"/>
      <color rgb="FFC1C2C9"/>
      <color rgb="FFC0C8D6"/>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tint="0.24994659260841701"/>
          </font>
          <fill>
            <patternFill patternType="solid">
              <fgColor auto="1"/>
              <bgColor theme="0" tint="-0.14996795556505021"/>
            </patternFill>
          </fill>
          <border diagonalUp="0" diagonalDown="0">
            <left/>
            <right/>
            <top/>
            <bottom/>
            <vertical/>
            <horizontal/>
          </border>
        </dxf>
        <dxf>
          <font>
            <color theme="1" tint="0.24994659260841701"/>
          </font>
          <fill>
            <patternFill patternType="solid">
              <fgColor auto="1"/>
              <bgColor theme="0" tint="-0.14996795556505021"/>
            </patternFill>
          </fill>
          <border diagonalUp="0" diagonalDown="0">
            <left/>
            <right/>
            <top/>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sz val="8"/>
            <color theme="0" tint="-4.9989318521683403E-2"/>
            <name val="Segoe UI Semibold"/>
            <family val="2"/>
            <scheme val="none"/>
          </font>
          <fill>
            <patternFill patternType="solid">
              <fgColor theme="4" tint="0.59999389629810485"/>
              <bgColor theme="4" tint="-0.499984740745262"/>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0" tint="-4.9989318521683403E-2"/>
            </patternFill>
          </fill>
          <border diagonalUp="0" diagonalDown="0">
            <left style="thin">
              <color theme="0" tint="-0.24994659260841701"/>
            </left>
            <right style="thin">
              <color theme="0" tint="-0.24994659260841701"/>
            </right>
            <top style="thin">
              <color theme="0" tint="-0.24994659260841701"/>
            </top>
            <bottom style="thin">
              <color theme="0" tint="-0.24994659260841701"/>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5" Type="http://schemas.openxmlformats.org/officeDocument/2006/relationships/pivotCacheDefinition" Target="pivotCache/pivotCacheDefinition1.xml"/><Relationship Id="rId10" Type="http://schemas.openxmlformats.org/officeDocument/2006/relationships/calcChain" Target="calcChain.xml"/><Relationship Id="rId4" Type="http://schemas.openxmlformats.org/officeDocument/2006/relationships/externalLink" Target="externalLinks/externalLink1.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[RANDOMInventory Monthly Totals Dashboard.xlsm]Calculations!PivotTable23</c:name>
    <c:fmtId val="2"/>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r>
              <a:rPr lang="en-US" sz="1400" cap="none" baseline="0">
                <a:solidFill>
                  <a:schemeClr val="tx1">
                    <a:lumMod val="75000"/>
                    <a:lumOff val="25000"/>
                  </a:schemeClr>
                </a:solidFill>
                <a:latin typeface="Segoe UI Semibold" panose="020B0702040204020203" pitchFamily="34" charset="0"/>
                <a:cs typeface="Segoe UI Semibold" panose="020B0702040204020203" pitchFamily="34" charset="0"/>
              </a:rPr>
              <a:t>Manufacturing Value Progress</a:t>
            </a:r>
          </a:p>
          <a:p>
            <a:pPr>
              <a:defRPr sz="1400">
                <a:latin typeface="Segoe UI Semibold" panose="020B0702040204020203" pitchFamily="34" charset="0"/>
                <a:cs typeface="Segoe UI Semibold" panose="020B0702040204020203" pitchFamily="34" charset="0"/>
              </a:defRPr>
            </a:pPr>
            <a:r>
              <a:rPr lang="en-US" sz="1000" b="0" i="1" cap="none" baseline="0">
                <a:solidFill>
                  <a:schemeClr val="tx1">
                    <a:lumMod val="50000"/>
                    <a:lumOff val="50000"/>
                  </a:schemeClr>
                </a:solidFill>
                <a:latin typeface="Segoe UI" panose="020B0502040204020203" pitchFamily="34" charset="0"/>
                <a:cs typeface="Segoe UI" panose="020B0502040204020203" pitchFamily="34" charset="0"/>
              </a:rPr>
              <a:t>Average annual dollar value of inventory moving from raw </a:t>
            </a:r>
          </a:p>
          <a:p>
            <a:pPr>
              <a:defRPr sz="1400">
                <a:latin typeface="Segoe UI Semibold" panose="020B0702040204020203" pitchFamily="34" charset="0"/>
                <a:cs typeface="Segoe UI Semibold" panose="020B0702040204020203" pitchFamily="34" charset="0"/>
              </a:defRPr>
            </a:pPr>
            <a:r>
              <a:rPr lang="en-US" sz="1000" b="0" i="1" cap="none" baseline="0">
                <a:solidFill>
                  <a:schemeClr val="tx1">
                    <a:lumMod val="50000"/>
                    <a:lumOff val="50000"/>
                  </a:schemeClr>
                </a:solidFill>
                <a:latin typeface="Segoe UI" panose="020B0502040204020203" pitchFamily="34" charset="0"/>
                <a:cs typeface="Segoe UI" panose="020B0502040204020203" pitchFamily="34" charset="0"/>
              </a:rPr>
              <a:t>materials to finished goods</a:t>
            </a:r>
          </a:p>
          <a:p>
            <a:pPr>
              <a:defRPr sz="1400">
                <a:latin typeface="Segoe UI Semibold" panose="020B0702040204020203" pitchFamily="34" charset="0"/>
                <a:cs typeface="Segoe UI Semibold" panose="020B0702040204020203" pitchFamily="34" charset="0"/>
              </a:defRPr>
            </a:pPr>
            <a:endParaRPr lang="en-US" sz="1200">
              <a:solidFill>
                <a:schemeClr val="tx1">
                  <a:lumMod val="50000"/>
                  <a:lumOff val="50000"/>
                </a:schemeClr>
              </a:solidFill>
              <a:latin typeface="Segoe UI" panose="020B0502040204020203" pitchFamily="34" charset="0"/>
              <a:cs typeface="Segoe UI" panose="020B0502040204020203" pitchFamily="34" charset="0"/>
            </a:endParaRPr>
          </a:p>
        </c:rich>
      </c:tx>
      <c:layout>
        <c:manualLayout>
          <c:xMode val="edge"/>
          <c:yMode val="edge"/>
          <c:x val="0.18250134192163178"/>
          <c:y val="2.398800222125123E-2"/>
        </c:manualLayout>
      </c:layout>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accent1">
              <a:alpha val="96000"/>
            </a:schemeClr>
          </a:solidFill>
          <a:ln>
            <a:noFill/>
          </a:ln>
          <a:effectLst/>
        </c:spPr>
        <c:marker>
          <c:symbol val="none"/>
        </c:marker>
      </c:pivotFmt>
      <c:pivotFmt>
        <c:idx val="7"/>
        <c:spPr>
          <a:solidFill>
            <a:schemeClr val="accent1">
              <a:lumMod val="50000"/>
              <a:alpha val="85000"/>
            </a:schemeClr>
          </a:solidFill>
          <a:ln>
            <a:noFill/>
          </a:ln>
          <a:effectLst/>
        </c:spPr>
        <c:marker>
          <c:symbol val="none"/>
        </c:marker>
      </c:pivotFmt>
      <c:pivotFmt>
        <c:idx val="8"/>
        <c:spPr>
          <a:solidFill>
            <a:schemeClr val="tx2">
              <a:lumMod val="40000"/>
              <a:lumOff val="60000"/>
              <a:alpha val="92000"/>
            </a:schemeClr>
          </a:solidFill>
          <a:ln>
            <a:noFill/>
          </a:ln>
          <a:effectLst/>
        </c:spPr>
        <c:marker>
          <c:symbol val="none"/>
        </c:marker>
      </c:pivotFmt>
    </c:pivotFmts>
    <c:plotArea>
      <c:layout/>
      <c:barChart>
        <c:barDir val="col"/>
        <c:grouping val="stacked"/>
        <c:varyColors val="0"/>
        <c:ser>
          <c:idx val="0"/>
          <c:order val="0"/>
          <c:tx>
            <c:strRef>
              <c:f>Calculations!$H$3</c:f>
              <c:strCache>
                <c:ptCount val="1"/>
                <c:pt idx="0">
                  <c:v>FG</c:v>
                </c:pt>
              </c:strCache>
            </c:strRef>
          </c:tx>
          <c:spPr>
            <a:solidFill>
              <a:schemeClr val="accent1">
                <a:lumMod val="50000"/>
                <a:alpha val="85000"/>
              </a:schemeClr>
            </a:solidFill>
            <a:ln>
              <a:noFill/>
            </a:ln>
            <a:effectLst/>
          </c:spPr>
          <c:invertIfNegative val="0"/>
          <c:cat>
            <c:strRef>
              <c:f>Calculations!$G$4:$G$11</c:f>
              <c:strCache>
                <c:ptCount val="8"/>
                <c:pt idx="0">
                  <c:v>2019</c:v>
                </c:pt>
                <c:pt idx="1">
                  <c:v>2020</c:v>
                </c:pt>
                <c:pt idx="2">
                  <c:v>2021</c:v>
                </c:pt>
                <c:pt idx="3">
                  <c:v>2022</c:v>
                </c:pt>
                <c:pt idx="4">
                  <c:v>2023</c:v>
                </c:pt>
                <c:pt idx="5">
                  <c:v>2024</c:v>
                </c:pt>
                <c:pt idx="6">
                  <c:v>2025</c:v>
                </c:pt>
                <c:pt idx="7">
                  <c:v>2026</c:v>
                </c:pt>
              </c:strCache>
            </c:strRef>
          </c:cat>
          <c:val>
            <c:numRef>
              <c:f>Calculations!$H$4:$H$11</c:f>
              <c:numCache>
                <c:formatCode>[&gt;=1000000]"$"#,##0.0,,"M";[&gt;=1000]"$"#,##0,"K";"$"0</c:formatCode>
                <c:ptCount val="8"/>
                <c:pt idx="0">
                  <c:v>1382305.3063927502</c:v>
                </c:pt>
                <c:pt idx="1">
                  <c:v>1591779.5359450001</c:v>
                </c:pt>
                <c:pt idx="2">
                  <c:v>1651533.7999113221</c:v>
                </c:pt>
                <c:pt idx="3">
                  <c:v>2209091.3427305329</c:v>
                </c:pt>
                <c:pt idx="4">
                  <c:v>2691041.3304853183</c:v>
                </c:pt>
                <c:pt idx="5">
                  <c:v>2353748.5545104765</c:v>
                </c:pt>
                <c:pt idx="6">
                  <c:v>2159268.3380756648</c:v>
                </c:pt>
                <c:pt idx="7">
                  <c:v>2062471.8132451628</c:v>
                </c:pt>
              </c:numCache>
            </c:numRef>
          </c:val>
          <c:extLst>
            <c:ext xmlns:c16="http://schemas.microsoft.com/office/drawing/2014/chart" uri="{C3380CC4-5D6E-409C-BE32-E72D297353CC}">
              <c16:uniqueId val="{00000000-E095-4C0B-BC1A-C8BAAAB43E02}"/>
            </c:ext>
          </c:extLst>
        </c:ser>
        <c:ser>
          <c:idx val="1"/>
          <c:order val="1"/>
          <c:tx>
            <c:strRef>
              <c:f>Calculations!$I$3</c:f>
              <c:strCache>
                <c:ptCount val="1"/>
                <c:pt idx="0">
                  <c:v>WP </c:v>
                </c:pt>
              </c:strCache>
            </c:strRef>
          </c:tx>
          <c:spPr>
            <a:solidFill>
              <a:schemeClr val="accent1">
                <a:alpha val="96000"/>
              </a:schemeClr>
            </a:solidFill>
            <a:ln>
              <a:noFill/>
            </a:ln>
            <a:effectLst/>
          </c:spPr>
          <c:invertIfNegative val="0"/>
          <c:cat>
            <c:strRef>
              <c:f>Calculations!$G$4:$G$11</c:f>
              <c:strCache>
                <c:ptCount val="8"/>
                <c:pt idx="0">
                  <c:v>2019</c:v>
                </c:pt>
                <c:pt idx="1">
                  <c:v>2020</c:v>
                </c:pt>
                <c:pt idx="2">
                  <c:v>2021</c:v>
                </c:pt>
                <c:pt idx="3">
                  <c:v>2022</c:v>
                </c:pt>
                <c:pt idx="4">
                  <c:v>2023</c:v>
                </c:pt>
                <c:pt idx="5">
                  <c:v>2024</c:v>
                </c:pt>
                <c:pt idx="6">
                  <c:v>2025</c:v>
                </c:pt>
                <c:pt idx="7">
                  <c:v>2026</c:v>
                </c:pt>
              </c:strCache>
            </c:strRef>
          </c:cat>
          <c:val>
            <c:numRef>
              <c:f>Calculations!$I$4:$I$11</c:f>
              <c:numCache>
                <c:formatCode>[&gt;=1000000]"$"#,##0.0,,"M";[&gt;=1000]"$"#,##0,"K";"$"0</c:formatCode>
                <c:ptCount val="8"/>
                <c:pt idx="0">
                  <c:v>411033.59229250002</c:v>
                </c:pt>
                <c:pt idx="1">
                  <c:v>473250.88974675001</c:v>
                </c:pt>
                <c:pt idx="2">
                  <c:v>575835.29620113724</c:v>
                </c:pt>
                <c:pt idx="3">
                  <c:v>522523.71756173839</c:v>
                </c:pt>
                <c:pt idx="4">
                  <c:v>546643.84896734543</c:v>
                </c:pt>
                <c:pt idx="5">
                  <c:v>572132.96772430884</c:v>
                </c:pt>
                <c:pt idx="6">
                  <c:v>576436.30854403984</c:v>
                </c:pt>
                <c:pt idx="7">
                  <c:v>605617.27870387339</c:v>
                </c:pt>
              </c:numCache>
            </c:numRef>
          </c:val>
          <c:extLst>
            <c:ext xmlns:c16="http://schemas.microsoft.com/office/drawing/2014/chart" uri="{C3380CC4-5D6E-409C-BE32-E72D297353CC}">
              <c16:uniqueId val="{00000001-E095-4C0B-BC1A-C8BAAAB43E02}"/>
            </c:ext>
          </c:extLst>
        </c:ser>
        <c:ser>
          <c:idx val="2"/>
          <c:order val="2"/>
          <c:tx>
            <c:strRef>
              <c:f>Calculations!$J$3</c:f>
              <c:strCache>
                <c:ptCount val="1"/>
                <c:pt idx="0">
                  <c:v>PL </c:v>
                </c:pt>
              </c:strCache>
            </c:strRef>
          </c:tx>
          <c:spPr>
            <a:solidFill>
              <a:schemeClr val="tx2">
                <a:lumMod val="40000"/>
                <a:lumOff val="60000"/>
                <a:alpha val="92000"/>
              </a:schemeClr>
            </a:solidFill>
            <a:ln>
              <a:noFill/>
            </a:ln>
            <a:effectLst/>
          </c:spPr>
          <c:invertIfNegative val="0"/>
          <c:cat>
            <c:strRef>
              <c:f>Calculations!$G$4:$G$11</c:f>
              <c:strCache>
                <c:ptCount val="8"/>
                <c:pt idx="0">
                  <c:v>2019</c:v>
                </c:pt>
                <c:pt idx="1">
                  <c:v>2020</c:v>
                </c:pt>
                <c:pt idx="2">
                  <c:v>2021</c:v>
                </c:pt>
                <c:pt idx="3">
                  <c:v>2022</c:v>
                </c:pt>
                <c:pt idx="4">
                  <c:v>2023</c:v>
                </c:pt>
                <c:pt idx="5">
                  <c:v>2024</c:v>
                </c:pt>
                <c:pt idx="6">
                  <c:v>2025</c:v>
                </c:pt>
                <c:pt idx="7">
                  <c:v>2026</c:v>
                </c:pt>
              </c:strCache>
            </c:strRef>
          </c:cat>
          <c:val>
            <c:numRef>
              <c:f>Calculations!$J$4:$J$11</c:f>
              <c:numCache>
                <c:formatCode>[&gt;=1000000]"$"#,##0.0,,"M";[&gt;=1000]"$"#,##0,"K";"$"0</c:formatCode>
                <c:ptCount val="8"/>
                <c:pt idx="0">
                  <c:v>523889.2910045</c:v>
                </c:pt>
                <c:pt idx="1">
                  <c:v>549675.01790075004</c:v>
                </c:pt>
                <c:pt idx="2">
                  <c:v>635623.80951683049</c:v>
                </c:pt>
                <c:pt idx="3">
                  <c:v>946702.21250513708</c:v>
                </c:pt>
                <c:pt idx="4">
                  <c:v>1066573.5319862284</c:v>
                </c:pt>
                <c:pt idx="5">
                  <c:v>825708.92656045256</c:v>
                </c:pt>
                <c:pt idx="6">
                  <c:v>712977.87059197656</c:v>
                </c:pt>
                <c:pt idx="7">
                  <c:v>736601.89730627439</c:v>
                </c:pt>
              </c:numCache>
            </c:numRef>
          </c:val>
          <c:extLst>
            <c:ext xmlns:c16="http://schemas.microsoft.com/office/drawing/2014/chart" uri="{C3380CC4-5D6E-409C-BE32-E72D297353CC}">
              <c16:uniqueId val="{00000002-E095-4C0B-BC1A-C8BAAAB43E02}"/>
            </c:ext>
          </c:extLst>
        </c:ser>
        <c:dLbls>
          <c:showLegendKey val="0"/>
          <c:showVal val="0"/>
          <c:showCatName val="0"/>
          <c:showSerName val="0"/>
          <c:showPercent val="0"/>
          <c:showBubbleSize val="0"/>
        </c:dLbls>
        <c:gapWidth val="50"/>
        <c:overlap val="100"/>
        <c:axId val="1773833151"/>
        <c:axId val="1953249791"/>
      </c:barChart>
      <c:catAx>
        <c:axId val="1773833151"/>
        <c:scaling>
          <c:orientation val="minMax"/>
        </c:scaling>
        <c:delete val="0"/>
        <c:axPos val="b"/>
        <c:title>
          <c:tx>
            <c:rich>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Year</a:t>
                </a:r>
              </a:p>
            </c:rich>
          </c:tx>
          <c:layout>
            <c:manualLayout>
              <c:xMode val="edge"/>
              <c:yMode val="edge"/>
              <c:x val="0.51315083199141165"/>
              <c:y val="0.82814775271735097"/>
            </c:manualLayout>
          </c:layout>
          <c:overlay val="0"/>
          <c:spPr>
            <a:noFill/>
            <a:ln>
              <a:noFill/>
            </a:ln>
            <a:effectLst/>
          </c:spPr>
          <c:txPr>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headEnd type="none" w="sm" len="sm"/>
            <a:tailEnd type="none" w="sm" len="sm"/>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3249791"/>
        <c:crosses val="autoZero"/>
        <c:auto val="1"/>
        <c:lblAlgn val="ctr"/>
        <c:lblOffset val="100"/>
        <c:noMultiLvlLbl val="0"/>
      </c:catAx>
      <c:valAx>
        <c:axId val="1953249791"/>
        <c:scaling>
          <c:orientation val="minMax"/>
        </c:scaling>
        <c:delete val="0"/>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 Value</a:t>
                </a:r>
                <a:r>
                  <a:rPr lang="en-US" sz="1000" baseline="0"/>
                  <a:t> of inventory</a:t>
                </a:r>
                <a:endParaRPr lang="en-US" sz="1000"/>
              </a:p>
            </c:rich>
          </c:tx>
          <c:layout>
            <c:manualLayout>
              <c:xMode val="edge"/>
              <c:yMode val="edge"/>
              <c:x val="1.5081593061736847E-2"/>
              <c:y val="0.35790945623322507"/>
            </c:manualLayout>
          </c:layout>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73833151"/>
        <c:crosses val="autoZero"/>
        <c:crossBetween val="between"/>
      </c:valAx>
      <c:spPr>
        <a:noFill/>
        <a:ln>
          <a:noFill/>
        </a:ln>
        <a:effectLst/>
      </c:spPr>
    </c:plotArea>
    <c:legend>
      <c:legendPos val="b"/>
      <c:layout>
        <c:manualLayout>
          <c:xMode val="edge"/>
          <c:yMode val="edge"/>
          <c:x val="0.46182306921779703"/>
          <c:y val="0.92428526434195724"/>
          <c:w val="0.16653082615880743"/>
          <c:h val="6.42861642294713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[RANDOMInventory Monthly Totals Dashboard.xlsm]Calculations!PivotTable24</c:name>
    <c:fmtId val="3"/>
  </c:pivotSource>
  <c:chart>
    <c:title>
      <c:tx>
        <c:rich>
          <a:bodyPr rot="0" spcFirstLastPara="1" vertOverflow="ellipsis" vert="horz" wrap="square" anchor="ctr" anchorCtr="1"/>
          <a:lstStyle/>
          <a:p>
            <a:pPr>
              <a:defRPr sz="1400" b="0" i="0" u="none" strike="noStrike" kern="1200" cap="none" spc="0" normalizeH="0" baseline="0">
                <a:solidFill>
                  <a:schemeClr val="tx1">
                    <a:lumMod val="75000"/>
                    <a:lumOff val="25000"/>
                  </a:schemeClr>
                </a:solidFill>
                <a:latin typeface="Segoe UI Semibold" panose="020B0702040204020203" pitchFamily="34" charset="0"/>
                <a:ea typeface="+mj-ea"/>
                <a:cs typeface="Segoe UI Semibold" panose="020B0702040204020203" pitchFamily="34" charset="0"/>
              </a:defRPr>
            </a:pPr>
            <a:r>
              <a:rPr lang="en-US" sz="1400">
                <a:solidFill>
                  <a:schemeClr val="tx1">
                    <a:lumMod val="75000"/>
                    <a:lumOff val="25000"/>
                  </a:schemeClr>
                </a:solidFill>
                <a:latin typeface="Segoe UI Semibold" panose="020B0702040204020203" pitchFamily="34" charset="0"/>
                <a:cs typeface="Segoe UI Semibold" panose="020B0702040204020203" pitchFamily="34" charset="0"/>
              </a:rPr>
              <a:t>Total Inventory Value vs.</a:t>
            </a:r>
            <a:r>
              <a:rPr lang="en-US" sz="1400" baseline="0">
                <a:solidFill>
                  <a:schemeClr val="tx1">
                    <a:lumMod val="75000"/>
                    <a:lumOff val="25000"/>
                  </a:schemeClr>
                </a:solidFill>
                <a:latin typeface="Segoe UI Semibold" panose="020B0702040204020203" pitchFamily="34" charset="0"/>
                <a:cs typeface="Segoe UI Semibold" panose="020B0702040204020203" pitchFamily="34" charset="0"/>
              </a:rPr>
              <a:t> Non-Committed</a:t>
            </a:r>
          </a:p>
          <a:p>
            <a:pPr>
              <a:defRPr sz="1400">
                <a:solidFill>
                  <a:schemeClr val="tx1">
                    <a:lumMod val="75000"/>
                    <a:lumOff val="25000"/>
                  </a:schemeClr>
                </a:solidFill>
                <a:latin typeface="Segoe UI Semibold" panose="020B0702040204020203" pitchFamily="34" charset="0"/>
                <a:cs typeface="Segoe UI Semibold" panose="020B0702040204020203" pitchFamily="34" charset="0"/>
              </a:defRPr>
            </a:pPr>
            <a:r>
              <a:rPr lang="en-US" sz="1000" i="1">
                <a:solidFill>
                  <a:schemeClr val="tx1">
                    <a:lumMod val="50000"/>
                    <a:lumOff val="50000"/>
                  </a:schemeClr>
                </a:solidFill>
                <a:latin typeface="Segoe UI" panose="020B0502040204020203" pitchFamily="34" charset="0"/>
                <a:cs typeface="Segoe UI" panose="020B0502040204020203" pitchFamily="34" charset="0"/>
              </a:rPr>
              <a:t>Average</a:t>
            </a:r>
            <a:r>
              <a:rPr lang="en-US" sz="1000" i="1" baseline="0">
                <a:solidFill>
                  <a:schemeClr val="tx1">
                    <a:lumMod val="50000"/>
                    <a:lumOff val="50000"/>
                  </a:schemeClr>
                </a:solidFill>
                <a:latin typeface="Segoe UI" panose="020B0502040204020203" pitchFamily="34" charset="0"/>
                <a:cs typeface="Segoe UI" panose="020B0502040204020203" pitchFamily="34" charset="0"/>
              </a:rPr>
              <a:t> annual valuation trends across distribution</a:t>
            </a:r>
          </a:p>
          <a:p>
            <a:pPr>
              <a:defRPr sz="1400">
                <a:solidFill>
                  <a:schemeClr val="tx1">
                    <a:lumMod val="75000"/>
                    <a:lumOff val="25000"/>
                  </a:schemeClr>
                </a:solidFill>
                <a:latin typeface="Segoe UI Semibold" panose="020B0702040204020203" pitchFamily="34" charset="0"/>
                <a:cs typeface="Segoe UI Semibold" panose="020B0702040204020203" pitchFamily="34" charset="0"/>
              </a:defRPr>
            </a:pPr>
            <a:r>
              <a:rPr lang="en-US" sz="1000" i="1" baseline="0">
                <a:solidFill>
                  <a:schemeClr val="tx1">
                    <a:lumMod val="50000"/>
                    <a:lumOff val="50000"/>
                  </a:schemeClr>
                </a:solidFill>
                <a:latin typeface="Segoe UI" panose="020B0502040204020203" pitchFamily="34" charset="0"/>
                <a:cs typeface="Segoe UI" panose="020B0502040204020203" pitchFamily="34" charset="0"/>
              </a:rPr>
              <a:t> and manufacturing divisions</a:t>
            </a:r>
            <a:endParaRPr lang="en-US" sz="1000" i="1">
              <a:solidFill>
                <a:schemeClr val="tx1">
                  <a:lumMod val="50000"/>
                  <a:lumOff val="50000"/>
                </a:schemeClr>
              </a:solidFill>
              <a:latin typeface="Segoe UI" panose="020B0502040204020203" pitchFamily="34" charset="0"/>
              <a:cs typeface="Segoe UI" panose="020B0502040204020203" pitchFamily="34" charset="0"/>
            </a:endParaRPr>
          </a:p>
        </c:rich>
      </c:tx>
      <c:layout>
        <c:manualLayout>
          <c:xMode val="edge"/>
          <c:yMode val="edge"/>
          <c:x val="0.24508743073782444"/>
          <c:y val="3.6636313589128888E-2"/>
        </c:manualLayout>
      </c:layout>
      <c:overlay val="0"/>
      <c:spPr>
        <a:noFill/>
        <a:ln>
          <a:noFill/>
        </a:ln>
        <a:effectLst/>
      </c:spPr>
      <c:txPr>
        <a:bodyPr rot="0" spcFirstLastPara="1" vertOverflow="ellipsis" vert="horz" wrap="square" anchor="ctr" anchorCtr="1"/>
        <a:lstStyle/>
        <a:p>
          <a:pPr>
            <a:defRPr sz="1400" b="0" i="0" u="none" strike="noStrike" kern="1200" cap="none" spc="0" normalizeH="0" baseline="0">
              <a:solidFill>
                <a:schemeClr val="tx1">
                  <a:lumMod val="75000"/>
                  <a:lumOff val="25000"/>
                </a:schemeClr>
              </a:solidFill>
              <a:latin typeface="Segoe UI Semibold" panose="020B0702040204020203" pitchFamily="34" charset="0"/>
              <a:ea typeface="+mj-ea"/>
              <a:cs typeface="Segoe UI Semibold" panose="020B0702040204020203" pitchFamily="34" charset="0"/>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solidFill>
            <a:schemeClr val="bg1">
              <a:lumMod val="75000"/>
              <a:alpha val="62000"/>
            </a:schemeClr>
          </a:solidFill>
          <a:ln>
            <a:noFill/>
          </a:ln>
          <a:effectLst/>
        </c:spPr>
        <c:marker>
          <c:symbol val="none"/>
        </c:marker>
      </c:pivotFmt>
      <c:pivotFmt>
        <c:idx val="7"/>
        <c:spPr>
          <a:ln w="34925" cap="rnd">
            <a:solidFill>
              <a:schemeClr val="accent1">
                <a:lumMod val="50000"/>
              </a:schemeClr>
            </a:solidFill>
            <a:round/>
          </a:ln>
          <a:effectLst/>
        </c:spPr>
        <c:marker>
          <c:symbol val="circle"/>
          <c:size val="6"/>
          <c:spPr>
            <a:solidFill>
              <a:schemeClr val="accent1">
                <a:lumMod val="50000"/>
              </a:schemeClr>
            </a:solidFill>
            <a:ln>
              <a:noFill/>
            </a:ln>
            <a:effectLst/>
          </c:spPr>
        </c:marker>
      </c:pivotFmt>
      <c:pivotFmt>
        <c:idx val="8"/>
        <c:spPr>
          <a:ln w="28575" cap="rnd">
            <a:solidFill>
              <a:schemeClr val="tx2">
                <a:lumMod val="60000"/>
                <a:lumOff val="40000"/>
              </a:schemeClr>
            </a:solidFill>
            <a:prstDash val="sysDash"/>
            <a:round/>
          </a:ln>
          <a:effectLst/>
        </c:spPr>
        <c:marker>
          <c:symbol val="circle"/>
          <c:size val="6"/>
          <c:spPr>
            <a:solidFill>
              <a:schemeClr val="tx2">
                <a:lumMod val="60000"/>
                <a:lumOff val="40000"/>
              </a:schemeClr>
            </a:solidFill>
            <a:ln>
              <a:solidFill>
                <a:schemeClr val="accent1"/>
              </a:solidFill>
            </a:ln>
            <a:effectLst/>
          </c:spPr>
        </c:marker>
      </c:pivotFmt>
      <c:pivotFmt>
        <c:idx val="9"/>
        <c:spPr>
          <a:ln w="34925" cap="rnd">
            <a:solidFill>
              <a:schemeClr val="accent1">
                <a:lumMod val="50000"/>
              </a:schemeClr>
            </a:solidFill>
            <a:round/>
          </a:ln>
          <a:effectLst/>
        </c:spPr>
        <c:marker>
          <c:symbol val="circle"/>
          <c:size val="6"/>
          <c:spPr>
            <a:solidFill>
              <a:schemeClr val="accent1">
                <a:lumMod val="50000"/>
              </a:schemeClr>
            </a:solidFill>
            <a:ln>
              <a:noFill/>
            </a:ln>
            <a:effectLst/>
          </c:spPr>
        </c:marker>
      </c:pivotFmt>
      <c:pivotFmt>
        <c:idx val="10"/>
        <c:spPr>
          <a:ln w="28575" cap="rnd">
            <a:solidFill>
              <a:schemeClr val="tx2">
                <a:lumMod val="60000"/>
                <a:lumOff val="40000"/>
              </a:schemeClr>
            </a:solidFill>
            <a:prstDash val="sysDash"/>
            <a:round/>
          </a:ln>
          <a:effectLst/>
        </c:spPr>
        <c:marker>
          <c:symbol val="circle"/>
          <c:size val="6"/>
          <c:spPr>
            <a:solidFill>
              <a:schemeClr val="tx2">
                <a:lumMod val="60000"/>
                <a:lumOff val="40000"/>
              </a:schemeClr>
            </a:solidFill>
            <a:ln>
              <a:solidFill>
                <a:schemeClr val="accent1"/>
              </a:solidFill>
            </a:ln>
            <a:effectLst/>
          </c:spPr>
        </c:marker>
      </c:pivotFmt>
      <c:pivotFmt>
        <c:idx val="11"/>
        <c:spPr>
          <a:ln w="28575" cap="rnd">
            <a:solidFill>
              <a:schemeClr val="tx2">
                <a:lumMod val="60000"/>
                <a:lumOff val="40000"/>
              </a:schemeClr>
            </a:solidFill>
            <a:prstDash val="sysDash"/>
            <a:round/>
          </a:ln>
          <a:effectLst/>
        </c:spPr>
        <c:marker>
          <c:symbol val="circle"/>
          <c:size val="6"/>
          <c:spPr>
            <a:solidFill>
              <a:schemeClr val="tx2">
                <a:lumMod val="60000"/>
                <a:lumOff val="40000"/>
              </a:schemeClr>
            </a:solidFill>
            <a:ln>
              <a:solidFill>
                <a:schemeClr val="accent1"/>
              </a:solidFill>
            </a:ln>
            <a:effectLst/>
          </c:spPr>
        </c:marker>
      </c:pivotFmt>
    </c:pivotFmts>
    <c:plotArea>
      <c:layout/>
      <c:areaChart>
        <c:grouping val="standard"/>
        <c:varyColors val="0"/>
        <c:ser>
          <c:idx val="0"/>
          <c:order val="0"/>
          <c:tx>
            <c:strRef>
              <c:f>Calculations!$H$15</c:f>
              <c:strCache>
                <c:ptCount val="1"/>
                <c:pt idx="0">
                  <c:v>Total  </c:v>
                </c:pt>
              </c:strCache>
            </c:strRef>
          </c:tx>
          <c:spPr>
            <a:solidFill>
              <a:schemeClr val="bg1">
                <a:lumMod val="75000"/>
                <a:alpha val="62000"/>
              </a:schemeClr>
            </a:solidFill>
            <a:ln>
              <a:noFill/>
            </a:ln>
            <a:effectLst/>
          </c:spPr>
          <c:cat>
            <c:strRef>
              <c:f>Calculations!$G$16:$G$24</c:f>
              <c:strCache>
                <c:ptCount val="8"/>
                <c:pt idx="0">
                  <c:v>2019</c:v>
                </c:pt>
                <c:pt idx="1">
                  <c:v>2020</c:v>
                </c:pt>
                <c:pt idx="2">
                  <c:v>2021</c:v>
                </c:pt>
                <c:pt idx="3">
                  <c:v>2022</c:v>
                </c:pt>
                <c:pt idx="4">
                  <c:v>2023</c:v>
                </c:pt>
                <c:pt idx="5">
                  <c:v>2024</c:v>
                </c:pt>
                <c:pt idx="6">
                  <c:v>2025</c:v>
                </c:pt>
                <c:pt idx="7">
                  <c:v>2026</c:v>
                </c:pt>
              </c:strCache>
            </c:strRef>
          </c:cat>
          <c:val>
            <c:numRef>
              <c:f>Calculations!$H$16:$H$24</c:f>
              <c:numCache>
                <c:formatCode>General</c:formatCode>
                <c:ptCount val="8"/>
                <c:pt idx="0">
                  <c:v>3657697.4576874035</c:v>
                </c:pt>
                <c:pt idx="1">
                  <c:v>3884931.624444718</c:v>
                </c:pt>
                <c:pt idx="2">
                  <c:v>4313061.9491546117</c:v>
                </c:pt>
                <c:pt idx="3">
                  <c:v>5818274.401224778</c:v>
                </c:pt>
                <c:pt idx="4">
                  <c:v>6665024.2383959964</c:v>
                </c:pt>
                <c:pt idx="5">
                  <c:v>6143769.0507431403</c:v>
                </c:pt>
                <c:pt idx="6">
                  <c:v>5510109.0747984005</c:v>
                </c:pt>
                <c:pt idx="7">
                  <c:v>4869752.6317251939</c:v>
                </c:pt>
              </c:numCache>
            </c:numRef>
          </c:val>
          <c:extLst>
            <c:ext xmlns:c16="http://schemas.microsoft.com/office/drawing/2014/chart" uri="{C3380CC4-5D6E-409C-BE32-E72D297353CC}">
              <c16:uniqueId val="{00000000-CB40-4A2C-B8A6-621A1F853E0F}"/>
            </c:ext>
          </c:extLst>
        </c:ser>
        <c:dLbls>
          <c:showLegendKey val="0"/>
          <c:showVal val="0"/>
          <c:showCatName val="0"/>
          <c:showSerName val="0"/>
          <c:showPercent val="0"/>
          <c:showBubbleSize val="0"/>
        </c:dLbls>
        <c:axId val="1606688671"/>
        <c:axId val="1570028559"/>
      </c:areaChart>
      <c:lineChart>
        <c:grouping val="standard"/>
        <c:varyColors val="0"/>
        <c:ser>
          <c:idx val="1"/>
          <c:order val="1"/>
          <c:tx>
            <c:strRef>
              <c:f>Calculations!$I$15</c:f>
              <c:strCache>
                <c:ptCount val="1"/>
                <c:pt idx="0">
                  <c:v>DIST FG (Non-Commit) </c:v>
                </c:pt>
              </c:strCache>
            </c:strRef>
          </c:tx>
          <c:spPr>
            <a:ln w="34925" cap="rnd">
              <a:solidFill>
                <a:schemeClr val="accent1">
                  <a:lumMod val="50000"/>
                </a:schemeClr>
              </a:solidFill>
              <a:round/>
            </a:ln>
            <a:effectLst/>
          </c:spPr>
          <c:marker>
            <c:symbol val="circle"/>
            <c:size val="6"/>
            <c:spPr>
              <a:solidFill>
                <a:schemeClr val="accent1">
                  <a:lumMod val="50000"/>
                </a:schemeClr>
              </a:solidFill>
              <a:ln>
                <a:noFill/>
              </a:ln>
              <a:effectLst/>
            </c:spPr>
          </c:marker>
          <c:cat>
            <c:strRef>
              <c:f>Calculations!$G$16:$G$24</c:f>
              <c:strCache>
                <c:ptCount val="8"/>
                <c:pt idx="0">
                  <c:v>2019</c:v>
                </c:pt>
                <c:pt idx="1">
                  <c:v>2020</c:v>
                </c:pt>
                <c:pt idx="2">
                  <c:v>2021</c:v>
                </c:pt>
                <c:pt idx="3">
                  <c:v>2022</c:v>
                </c:pt>
                <c:pt idx="4">
                  <c:v>2023</c:v>
                </c:pt>
                <c:pt idx="5">
                  <c:v>2024</c:v>
                </c:pt>
                <c:pt idx="6">
                  <c:v>2025</c:v>
                </c:pt>
                <c:pt idx="7">
                  <c:v>2026</c:v>
                </c:pt>
              </c:strCache>
            </c:strRef>
          </c:cat>
          <c:val>
            <c:numRef>
              <c:f>Calculations!$I$16:$I$24</c:f>
              <c:numCache>
                <c:formatCode>General</c:formatCode>
                <c:ptCount val="8"/>
                <c:pt idx="2">
                  <c:v>1004036.682083534</c:v>
                </c:pt>
                <c:pt idx="3">
                  <c:v>1462430.507760616</c:v>
                </c:pt>
                <c:pt idx="4">
                  <c:v>1963544.1600700049</c:v>
                </c:pt>
                <c:pt idx="5">
                  <c:v>1943969.2729679653</c:v>
                </c:pt>
                <c:pt idx="6">
                  <c:v>1766332.8684170933</c:v>
                </c:pt>
                <c:pt idx="7">
                  <c:v>1606697.7225872541</c:v>
                </c:pt>
              </c:numCache>
            </c:numRef>
          </c:val>
          <c:smooth val="0"/>
          <c:extLst>
            <c:ext xmlns:c16="http://schemas.microsoft.com/office/drawing/2014/chart" uri="{C3380CC4-5D6E-409C-BE32-E72D297353CC}">
              <c16:uniqueId val="{00000001-CB40-4A2C-B8A6-621A1F853E0F}"/>
            </c:ext>
          </c:extLst>
        </c:ser>
        <c:ser>
          <c:idx val="2"/>
          <c:order val="2"/>
          <c:tx>
            <c:strRef>
              <c:f>Calculations!$J$15</c:f>
              <c:strCache>
                <c:ptCount val="1"/>
                <c:pt idx="0">
                  <c:v>MFG FG (Non-Commit) </c:v>
                </c:pt>
              </c:strCache>
            </c:strRef>
          </c:tx>
          <c:spPr>
            <a:ln w="28575" cap="rnd">
              <a:solidFill>
                <a:schemeClr val="tx2">
                  <a:lumMod val="60000"/>
                  <a:lumOff val="40000"/>
                </a:schemeClr>
              </a:solidFill>
              <a:prstDash val="sysDash"/>
              <a:round/>
            </a:ln>
            <a:effectLst/>
          </c:spPr>
          <c:marker>
            <c:symbol val="circle"/>
            <c:size val="6"/>
            <c:spPr>
              <a:solidFill>
                <a:schemeClr val="tx2">
                  <a:lumMod val="60000"/>
                  <a:lumOff val="40000"/>
                </a:schemeClr>
              </a:solidFill>
              <a:ln>
                <a:solidFill>
                  <a:schemeClr val="accent1"/>
                </a:solidFill>
              </a:ln>
              <a:effectLst/>
            </c:spPr>
          </c:marker>
          <c:cat>
            <c:strRef>
              <c:f>Calculations!$G$16:$G$24</c:f>
              <c:strCache>
                <c:ptCount val="8"/>
                <c:pt idx="0">
                  <c:v>2019</c:v>
                </c:pt>
                <c:pt idx="1">
                  <c:v>2020</c:v>
                </c:pt>
                <c:pt idx="2">
                  <c:v>2021</c:v>
                </c:pt>
                <c:pt idx="3">
                  <c:v>2022</c:v>
                </c:pt>
                <c:pt idx="4">
                  <c:v>2023</c:v>
                </c:pt>
                <c:pt idx="5">
                  <c:v>2024</c:v>
                </c:pt>
                <c:pt idx="6">
                  <c:v>2025</c:v>
                </c:pt>
                <c:pt idx="7">
                  <c:v>2026</c:v>
                </c:pt>
              </c:strCache>
            </c:strRef>
          </c:cat>
          <c:val>
            <c:numRef>
              <c:f>Calculations!$J$16:$J$24</c:f>
              <c:numCache>
                <c:formatCode>General</c:formatCode>
                <c:ptCount val="8"/>
                <c:pt idx="2">
                  <c:v>888893.69028732309</c:v>
                </c:pt>
                <c:pt idx="3">
                  <c:v>1330961.203607592</c:v>
                </c:pt>
                <c:pt idx="4">
                  <c:v>1766297.6725068695</c:v>
                </c:pt>
                <c:pt idx="5">
                  <c:v>1500785.7239669578</c:v>
                </c:pt>
                <c:pt idx="6">
                  <c:v>1449686.2609699119</c:v>
                </c:pt>
                <c:pt idx="7">
                  <c:v>1411867.0477428571</c:v>
                </c:pt>
              </c:numCache>
            </c:numRef>
          </c:val>
          <c:smooth val="0"/>
          <c:extLst>
            <c:ext xmlns:c16="http://schemas.microsoft.com/office/drawing/2014/chart" uri="{C3380CC4-5D6E-409C-BE32-E72D297353CC}">
              <c16:uniqueId val="{00000002-CB40-4A2C-B8A6-621A1F853E0F}"/>
            </c:ext>
          </c:extLst>
        </c:ser>
        <c:dLbls>
          <c:showLegendKey val="0"/>
          <c:showVal val="0"/>
          <c:showCatName val="0"/>
          <c:showSerName val="0"/>
          <c:showPercent val="0"/>
          <c:showBubbleSize val="0"/>
        </c:dLbls>
        <c:marker val="1"/>
        <c:smooth val="0"/>
        <c:axId val="1606688671"/>
        <c:axId val="1570028559"/>
      </c:lineChart>
      <c:catAx>
        <c:axId val="1606688671"/>
        <c:scaling>
          <c:orientation val="minMax"/>
        </c:scaling>
        <c:delete val="0"/>
        <c:axPos val="b"/>
        <c:title>
          <c:tx>
            <c:rich>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year</a:t>
                </a:r>
              </a:p>
            </c:rich>
          </c:tx>
          <c:layout>
            <c:manualLayout>
              <c:xMode val="edge"/>
              <c:yMode val="edge"/>
              <c:x val="0.51295405852046272"/>
              <c:y val="0.82989033132338785"/>
            </c:manualLayout>
          </c:layout>
          <c:overlay val="0"/>
          <c:spPr>
            <a:noFill/>
            <a:ln>
              <a:noFill/>
            </a:ln>
            <a:effectLst/>
          </c:spPr>
          <c:txPr>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1570028559"/>
        <c:crosses val="autoZero"/>
        <c:auto val="1"/>
        <c:lblAlgn val="ctr"/>
        <c:lblOffset val="100"/>
        <c:noMultiLvlLbl val="0"/>
      </c:catAx>
      <c:valAx>
        <c:axId val="1570028559"/>
        <c:scaling>
          <c:orientation val="minMax"/>
        </c:scaling>
        <c:delete val="0"/>
        <c:axPos val="l"/>
        <c:title>
          <c:tx>
            <c:rich>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value</a:t>
                </a:r>
                <a:r>
                  <a:rPr lang="en-US" sz="1000" baseline="0"/>
                  <a:t> of inventory</a:t>
                </a:r>
                <a:endParaRPr lang="en-US" sz="1000"/>
              </a:p>
            </c:rich>
          </c:tx>
          <c:layout>
            <c:manualLayout>
              <c:xMode val="edge"/>
              <c:yMode val="edge"/>
              <c:x val="1.580246913580247E-2"/>
              <c:y val="0.32767796016026235"/>
            </c:manualLayout>
          </c:layout>
          <c:overlay val="0"/>
          <c:spPr>
            <a:noFill/>
            <a:ln>
              <a:noFill/>
            </a:ln>
            <a:effectLst/>
          </c:spPr>
          <c:txPr>
            <a:bodyPr rot="-540000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668867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[RANDOMInventory Monthly Totals Dashboard.xlsm]Calculations!PivotTable22</c:name>
    <c:fmtId val="15"/>
  </c:pivotSource>
  <c:chart>
    <c:title>
      <c:tx>
        <c:rich>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r>
              <a:rPr lang="en-US" sz="1400" b="0" cap="none" baseline="0">
                <a:solidFill>
                  <a:schemeClr val="tx1">
                    <a:lumMod val="75000"/>
                    <a:lumOff val="25000"/>
                  </a:schemeClr>
                </a:solidFill>
                <a:latin typeface="Segoe UI Semibold" panose="020B0702040204020203" pitchFamily="34" charset="0"/>
                <a:cs typeface="Segoe UI Semibold" panose="020B0702040204020203" pitchFamily="34" charset="0"/>
              </a:rPr>
              <a:t>Finished Goods Valuation</a:t>
            </a:r>
          </a:p>
          <a:p>
            <a:pPr>
              <a:defRPr/>
            </a:pPr>
            <a:r>
              <a:rPr lang="en-US" sz="1000" b="0" i="1" cap="none" baseline="0">
                <a:solidFill>
                  <a:schemeClr val="tx1">
                    <a:lumMod val="50000"/>
                    <a:lumOff val="50000"/>
                  </a:schemeClr>
                </a:solidFill>
                <a:latin typeface="Segoe UI" panose="020B0502040204020203" pitchFamily="34" charset="0"/>
                <a:cs typeface="Segoe UI" panose="020B0502040204020203" pitchFamily="34" charset="0"/>
              </a:rPr>
              <a:t>Comparative annual averages across plant locations </a:t>
            </a:r>
          </a:p>
          <a:p>
            <a:pPr>
              <a:defRPr/>
            </a:pPr>
            <a:endParaRPr lang="en-US" sz="1400" cap="none" baseline="0">
              <a:solidFill>
                <a:schemeClr val="tx1">
                  <a:lumMod val="75000"/>
                  <a:lumOff val="25000"/>
                </a:schemeClr>
              </a:solidFill>
            </a:endParaRPr>
          </a:p>
        </c:rich>
      </c:tx>
      <c:layout>
        <c:manualLayout>
          <c:xMode val="edge"/>
          <c:yMode val="edge"/>
          <c:x val="0.24222374897649948"/>
          <c:y val="2.6954491926977235E-2"/>
        </c:manualLayout>
      </c:layout>
      <c:overlay val="0"/>
      <c:spPr>
        <a:noFill/>
        <a:ln>
          <a:noFill/>
        </a:ln>
        <a:effectLst/>
      </c:spPr>
      <c:txPr>
        <a:bodyPr rot="0" spcFirstLastPara="1" vertOverflow="ellipsis" vert="horz" wrap="square" anchor="ctr" anchorCtr="1"/>
        <a:lstStyle/>
        <a:p>
          <a:pPr>
            <a:defRPr sz="18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spPr>
          <a:solidFill>
            <a:schemeClr val="accent1">
              <a:lumMod val="50000"/>
            </a:schemeClr>
          </a:solidFill>
          <a:ln>
            <a:noFill/>
          </a:ln>
          <a:effectLst/>
        </c:spPr>
        <c:marker>
          <c:symbol val="none"/>
        </c:marker>
      </c:pivotFmt>
      <c:pivotFmt>
        <c:idx val="5"/>
        <c:spPr>
          <a:solidFill>
            <a:schemeClr val="tx2">
              <a:lumMod val="40000"/>
              <a:lumOff val="60000"/>
            </a:schemeClr>
          </a:solidFill>
          <a:ln>
            <a:noFill/>
          </a:ln>
          <a:effectLst/>
        </c:spPr>
        <c:marker>
          <c:symbol val="none"/>
        </c:marker>
      </c:pivotFmt>
      <c:pivotFmt>
        <c:idx val="6"/>
        <c:spPr>
          <a:solidFill>
            <a:schemeClr val="tx2">
              <a:lumMod val="40000"/>
              <a:lumOff val="60000"/>
            </a:schemeClr>
          </a:solidFill>
          <a:ln>
            <a:noFill/>
          </a:ln>
          <a:effectLst/>
        </c:spPr>
      </c:pivotFmt>
      <c:pivotFmt>
        <c:idx val="7"/>
        <c:spPr>
          <a:solidFill>
            <a:schemeClr val="accent1">
              <a:lumMod val="50000"/>
            </a:schemeClr>
          </a:solidFill>
          <a:ln>
            <a:noFill/>
          </a:ln>
          <a:effectLst/>
        </c:spPr>
      </c:pivotFmt>
      <c:pivotFmt>
        <c:idx val="8"/>
        <c:spPr>
          <a:solidFill>
            <a:schemeClr val="accent1">
              <a:lumMod val="50000"/>
            </a:schemeClr>
          </a:solidFill>
          <a:ln>
            <a:noFill/>
          </a:ln>
          <a:effectLst/>
        </c:spPr>
      </c:pivotFmt>
      <c:pivotFmt>
        <c:idx val="9"/>
        <c:spPr>
          <a:solidFill>
            <a:schemeClr val="tx2">
              <a:lumMod val="40000"/>
              <a:lumOff val="60000"/>
            </a:schemeClr>
          </a:solidFill>
          <a:ln>
            <a:noFill/>
          </a:ln>
          <a:effectLst/>
        </c:spPr>
      </c:pivotFmt>
      <c:pivotFmt>
        <c:idx val="10"/>
        <c:spPr>
          <a:solidFill>
            <a:schemeClr val="accent1">
              <a:lumMod val="50000"/>
            </a:schemeClr>
          </a:solidFill>
          <a:ln>
            <a:noFill/>
          </a:ln>
          <a:effectLst/>
        </c:spPr>
      </c:pivotFmt>
      <c:pivotFmt>
        <c:idx val="11"/>
        <c:spPr>
          <a:solidFill>
            <a:schemeClr val="tx2">
              <a:lumMod val="40000"/>
              <a:lumOff val="60000"/>
            </a:schemeClr>
          </a:solidFill>
          <a:ln>
            <a:noFill/>
          </a:ln>
          <a:effectLst/>
        </c:spPr>
      </c:pivotFmt>
      <c:pivotFmt>
        <c:idx val="12"/>
        <c:spPr>
          <a:solidFill>
            <a:schemeClr val="accent1">
              <a:lumMod val="50000"/>
            </a:schemeClr>
          </a:solidFill>
          <a:ln>
            <a:noFill/>
          </a:ln>
          <a:effectLst/>
        </c:spPr>
      </c:pivotFmt>
      <c:pivotFmt>
        <c:idx val="13"/>
        <c:spPr>
          <a:solidFill>
            <a:schemeClr val="tx2">
              <a:lumMod val="40000"/>
              <a:lumOff val="60000"/>
            </a:schemeClr>
          </a:solidFill>
          <a:ln>
            <a:noFill/>
          </a:ln>
          <a:effectLst/>
        </c:spPr>
      </c:pivotFmt>
      <c:pivotFmt>
        <c:idx val="14"/>
        <c:spPr>
          <a:solidFill>
            <a:schemeClr val="accent1">
              <a:lumMod val="50000"/>
            </a:schemeClr>
          </a:solidFill>
          <a:ln>
            <a:noFill/>
          </a:ln>
          <a:effectLst/>
        </c:spPr>
      </c:pivotFmt>
      <c:pivotFmt>
        <c:idx val="15"/>
        <c:spPr>
          <a:solidFill>
            <a:schemeClr val="tx2">
              <a:lumMod val="40000"/>
              <a:lumOff val="60000"/>
            </a:schemeClr>
          </a:solidFill>
          <a:ln>
            <a:noFill/>
          </a:ln>
          <a:effectLst/>
        </c:spPr>
      </c:pivotFmt>
      <c:pivotFmt>
        <c:idx val="16"/>
        <c:spPr>
          <a:solidFill>
            <a:schemeClr val="accent1">
              <a:lumMod val="50000"/>
            </a:schemeClr>
          </a:solidFill>
          <a:ln>
            <a:noFill/>
          </a:ln>
          <a:effectLst/>
        </c:spPr>
      </c:pivotFmt>
      <c:pivotFmt>
        <c:idx val="17"/>
        <c:spPr>
          <a:solidFill>
            <a:schemeClr val="tx2">
              <a:lumMod val="40000"/>
              <a:lumOff val="60000"/>
            </a:schemeClr>
          </a:solidFill>
          <a:ln>
            <a:noFill/>
          </a:ln>
          <a:effectLst/>
        </c:spPr>
      </c:pivotFmt>
      <c:pivotFmt>
        <c:idx val="18"/>
        <c:spPr>
          <a:solidFill>
            <a:schemeClr val="accent1">
              <a:lumMod val="50000"/>
            </a:schemeClr>
          </a:solidFill>
          <a:ln>
            <a:noFill/>
          </a:ln>
          <a:effectLst/>
        </c:spPr>
      </c:pivotFmt>
      <c:pivotFmt>
        <c:idx val="19"/>
        <c:spPr>
          <a:solidFill>
            <a:schemeClr val="tx2">
              <a:lumMod val="40000"/>
              <a:lumOff val="60000"/>
            </a:schemeClr>
          </a:solidFill>
          <a:ln>
            <a:noFill/>
          </a:ln>
          <a:effectLst/>
        </c:spPr>
      </c:pivotFmt>
      <c:pivotFmt>
        <c:idx val="20"/>
        <c:spPr>
          <a:solidFill>
            <a:schemeClr val="tx2">
              <a:lumMod val="40000"/>
              <a:lumOff val="60000"/>
            </a:schemeClr>
          </a:solidFill>
          <a:ln>
            <a:noFill/>
          </a:ln>
          <a:effectLst/>
        </c:spPr>
      </c:pivotFmt>
      <c:pivotFmt>
        <c:idx val="21"/>
        <c:spPr>
          <a:solidFill>
            <a:schemeClr val="accent1">
              <a:lumMod val="50000"/>
            </a:schemeClr>
          </a:solidFill>
          <a:ln>
            <a:noFill/>
          </a:ln>
          <a:effectLst/>
        </c:spPr>
      </c:pivotFmt>
    </c:pivotFmts>
    <c:plotArea>
      <c:layout/>
      <c:barChart>
        <c:barDir val="col"/>
        <c:grouping val="clustered"/>
        <c:varyColors val="0"/>
        <c:ser>
          <c:idx val="0"/>
          <c:order val="0"/>
          <c:tx>
            <c:strRef>
              <c:f>Calculations!$C$3</c:f>
              <c:strCache>
                <c:ptCount val="1"/>
                <c:pt idx="0">
                  <c:v>DIST FG</c:v>
                </c:pt>
              </c:strCache>
            </c:strRef>
          </c:tx>
          <c:spPr>
            <a:solidFill>
              <a:schemeClr val="accent1">
                <a:lumMod val="50000"/>
              </a:schemeClr>
            </a:solidFill>
            <a:ln>
              <a:noFill/>
            </a:ln>
            <a:effectLst/>
          </c:spPr>
          <c:invertIfNegative val="0"/>
          <c:cat>
            <c:strRef>
              <c:f>Calculations!$B$4:$B$11</c:f>
              <c:strCache>
                <c:ptCount val="8"/>
                <c:pt idx="0">
                  <c:v>2019</c:v>
                </c:pt>
                <c:pt idx="1">
                  <c:v>2020</c:v>
                </c:pt>
                <c:pt idx="2">
                  <c:v>2021</c:v>
                </c:pt>
                <c:pt idx="3">
                  <c:v>2022</c:v>
                </c:pt>
                <c:pt idx="4">
                  <c:v>2023</c:v>
                </c:pt>
                <c:pt idx="5">
                  <c:v>2024</c:v>
                </c:pt>
                <c:pt idx="6">
                  <c:v>2025</c:v>
                </c:pt>
                <c:pt idx="7">
                  <c:v>2026</c:v>
                </c:pt>
              </c:strCache>
            </c:strRef>
          </c:cat>
          <c:val>
            <c:numRef>
              <c:f>Calculations!$C$4:$C$11</c:f>
              <c:numCache>
                <c:formatCode>[&gt;=1000000]"$"#,##0.0,,"M";[&gt;=1000]"$"#,##0,"K";"$"0</c:formatCode>
                <c:ptCount val="8"/>
                <c:pt idx="0">
                  <c:v>1257455.7043252501</c:v>
                </c:pt>
                <c:pt idx="1">
                  <c:v>1325008.2316693335</c:v>
                </c:pt>
                <c:pt idx="2">
                  <c:v>1399245.6796657003</c:v>
                </c:pt>
                <c:pt idx="3">
                  <c:v>1982519.7416446202</c:v>
                </c:pt>
                <c:pt idx="4">
                  <c:v>2398111.3420508341</c:v>
                </c:pt>
                <c:pt idx="5">
                  <c:v>2298568.7548081107</c:v>
                </c:pt>
                <c:pt idx="6">
                  <c:v>2046628.3001964816</c:v>
                </c:pt>
                <c:pt idx="7">
                  <c:v>2076238.0743561271</c:v>
                </c:pt>
              </c:numCache>
            </c:numRef>
          </c:val>
          <c:extLst>
            <c:ext xmlns:c16="http://schemas.microsoft.com/office/drawing/2014/chart" uri="{C3380CC4-5D6E-409C-BE32-E72D297353CC}">
              <c16:uniqueId val="{00000000-4B83-4C06-B81C-13F2CBA04F06}"/>
            </c:ext>
          </c:extLst>
        </c:ser>
        <c:ser>
          <c:idx val="1"/>
          <c:order val="1"/>
          <c:tx>
            <c:strRef>
              <c:f>Calculations!$D$3</c:f>
              <c:strCache>
                <c:ptCount val="1"/>
                <c:pt idx="0">
                  <c:v>MFG FG </c:v>
                </c:pt>
              </c:strCache>
            </c:strRef>
          </c:tx>
          <c:spPr>
            <a:solidFill>
              <a:schemeClr val="tx2">
                <a:lumMod val="40000"/>
                <a:lumOff val="60000"/>
              </a:schemeClr>
            </a:solidFill>
            <a:ln>
              <a:noFill/>
            </a:ln>
            <a:effectLst/>
          </c:spPr>
          <c:invertIfNegative val="0"/>
          <c:cat>
            <c:strRef>
              <c:f>Calculations!$B$4:$B$11</c:f>
              <c:strCache>
                <c:ptCount val="8"/>
                <c:pt idx="0">
                  <c:v>2019</c:v>
                </c:pt>
                <c:pt idx="1">
                  <c:v>2020</c:v>
                </c:pt>
                <c:pt idx="2">
                  <c:v>2021</c:v>
                </c:pt>
                <c:pt idx="3">
                  <c:v>2022</c:v>
                </c:pt>
                <c:pt idx="4">
                  <c:v>2023</c:v>
                </c:pt>
                <c:pt idx="5">
                  <c:v>2024</c:v>
                </c:pt>
                <c:pt idx="6">
                  <c:v>2025</c:v>
                </c:pt>
                <c:pt idx="7">
                  <c:v>2026</c:v>
                </c:pt>
              </c:strCache>
            </c:strRef>
          </c:cat>
          <c:val>
            <c:numRef>
              <c:f>Calculations!$D$4:$D$11</c:f>
              <c:numCache>
                <c:formatCode>[&gt;=1000000]"$"#,##0.0,,"M";[&gt;=1000]"$"#,##0,"K";"$"0</c:formatCode>
                <c:ptCount val="8"/>
                <c:pt idx="0">
                  <c:v>1382305.3063927502</c:v>
                </c:pt>
                <c:pt idx="1">
                  <c:v>1591779.5359450001</c:v>
                </c:pt>
                <c:pt idx="2">
                  <c:v>1651533.7999113221</c:v>
                </c:pt>
                <c:pt idx="3">
                  <c:v>2209091.3427305329</c:v>
                </c:pt>
                <c:pt idx="4">
                  <c:v>2691041.3304853183</c:v>
                </c:pt>
                <c:pt idx="5">
                  <c:v>2353748.5545104765</c:v>
                </c:pt>
                <c:pt idx="6">
                  <c:v>2159268.3380756648</c:v>
                </c:pt>
                <c:pt idx="7">
                  <c:v>2062471.8132451628</c:v>
                </c:pt>
              </c:numCache>
            </c:numRef>
          </c:val>
          <c:extLst>
            <c:ext xmlns:c16="http://schemas.microsoft.com/office/drawing/2014/chart" uri="{C3380CC4-5D6E-409C-BE32-E72D297353CC}">
              <c16:uniqueId val="{00000001-4B83-4C06-B81C-13F2CBA04F06}"/>
            </c:ext>
          </c:extLst>
        </c:ser>
        <c:dLbls>
          <c:showLegendKey val="0"/>
          <c:showVal val="0"/>
          <c:showCatName val="0"/>
          <c:showSerName val="0"/>
          <c:showPercent val="0"/>
          <c:showBubbleSize val="0"/>
        </c:dLbls>
        <c:gapWidth val="206"/>
        <c:overlap val="-22"/>
        <c:axId val="295916400"/>
        <c:axId val="1523743520"/>
      </c:barChart>
      <c:catAx>
        <c:axId val="295916400"/>
        <c:scaling>
          <c:orientation val="minMax"/>
        </c:scaling>
        <c:delete val="0"/>
        <c:axPos val="b"/>
        <c:title>
          <c:tx>
            <c:rich>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r>
                  <a:rPr lang="en-US" sz="1000"/>
                  <a:t>year</a:t>
                </a:r>
              </a:p>
            </c:rich>
          </c:tx>
          <c:layout>
            <c:manualLayout>
              <c:xMode val="edge"/>
              <c:yMode val="edge"/>
              <c:x val="0.51600197458397834"/>
              <c:y val="0.79755424462617419"/>
            </c:manualLayout>
          </c:layout>
          <c:overlay val="0"/>
          <c:spPr>
            <a:noFill/>
            <a:ln>
              <a:noFill/>
            </a:ln>
            <a:effectLst/>
          </c:spPr>
          <c:txPr>
            <a:bodyPr rot="0" spcFirstLastPara="1" vertOverflow="ellipsis" vert="horz" wrap="square" anchor="ctr" anchorCtr="1"/>
            <a:lstStyle/>
            <a:p>
              <a:pPr>
                <a:defRPr sz="10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3743520"/>
        <c:crosses val="autoZero"/>
        <c:auto val="1"/>
        <c:lblAlgn val="ctr"/>
        <c:lblOffset val="100"/>
        <c:noMultiLvlLbl val="0"/>
      </c:catAx>
      <c:valAx>
        <c:axId val="1523743520"/>
        <c:scaling>
          <c:orientation val="minMax"/>
        </c:scaling>
        <c:delete val="0"/>
        <c:axPos val="l"/>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sz="1000"/>
                  <a:t>value of inventory</a:t>
                </a:r>
              </a:p>
            </c:rich>
          </c:tx>
          <c:layout>
            <c:manualLayout>
              <c:xMode val="edge"/>
              <c:yMode val="edge"/>
              <c:x val="1.5065915605070748E-2"/>
              <c:y val="0.29687351781991883"/>
            </c:manualLayout>
          </c:layout>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quot;$&quot;#,##0,,&quot;M&quot;"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5916400"/>
        <c:crosses val="autoZero"/>
        <c:crossBetween val="between"/>
      </c:valAx>
      <c:spPr>
        <a:noFill/>
        <a:ln>
          <a:noFill/>
        </a:ln>
        <a:effectLst/>
      </c:spPr>
    </c:plotArea>
    <c:legend>
      <c:legendPos val="b"/>
      <c:layout>
        <c:manualLayout>
          <c:xMode val="edge"/>
          <c:yMode val="edge"/>
          <c:x val="0.44806031749691611"/>
          <c:y val="0.90621599952739029"/>
          <c:w val="0.18587042651879349"/>
          <c:h val="7.23477732486011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headEnd type="none" w="sm" len="sm"/>
        <a:tailEnd type="none" w="sm" len="sm"/>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alpha val="70000"/>
        </a:schemeClr>
      </a:solidFill>
    </cs:spPr>
  </cs:dataPoint>
  <cs:dataPoint3D>
    <cs:lnRef idx="0"/>
    <cs:fillRef idx="0">
      <cs:styleClr val="auto"/>
    </cs:fillRef>
    <cs:effectRef idx="0"/>
    <cs:fontRef idx="minor">
      <a:schemeClr val="tx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a:gsLst>
          <a:gs pos="0">
            <a:schemeClr val="phClr"/>
          </a:gs>
          <a:gs pos="46000">
            <a:schemeClr val="phClr"/>
          </a:gs>
          <a:gs pos="100000">
            <a:schemeClr val="phClr">
              <a:lumMod val="20000"/>
              <a:lumOff val="80000"/>
              <a:alpha val="0"/>
            </a:schemeClr>
          </a:gs>
        </a:gsLst>
        <a:path path="circle">
          <a:fillToRect l="50000" t="-80000" r="50000" b="180000"/>
        </a:path>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ajor>
  <cs:gridlineMinor>
    <cs:lnRef idx="0"/>
    <cs:fillRef idx="0"/>
    <cs:effectRef idx="0"/>
    <cs:fontRef idx="minor">
      <a:schemeClr val="dk1"/>
    </cs:fontRef>
    <cs:spPr>
      <a:ln w="9525" cap="flat" cmpd="sng" algn="ctr">
        <a:gradFill>
          <a:gsLst>
            <a:gs pos="0">
              <a:schemeClr val="tx1">
                <a:lumMod val="5000"/>
                <a:lumOff val="95000"/>
              </a:schemeClr>
            </a:gs>
            <a:gs pos="100000">
              <a:schemeClr val="tx1">
                <a:lumMod val="15000"/>
                <a:lumOff val="8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tx1">
                <a:lumMod val="5000"/>
                <a:lumOff val="95000"/>
              </a:schemeClr>
            </a:gs>
            <a:gs pos="0">
              <a:schemeClr val="tx1">
                <a:lumMod val="25000"/>
                <a:lumOff val="75000"/>
              </a:schemeClr>
            </a:gs>
          </a:gsLst>
          <a:lin ang="5400000" scaled="0"/>
        </a:gra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chart" Target="../charts/chart3.xml"/><Relationship Id="rId7" Type="http://schemas.openxmlformats.org/officeDocument/2006/relationships/image" Target="../media/image4.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pn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304800</xdr:colOff>
      <xdr:row>21</xdr:row>
      <xdr:rowOff>28575</xdr:rowOff>
    </xdr:from>
    <xdr:to>
      <xdr:col>9</xdr:col>
      <xdr:colOff>390525</xdr:colOff>
      <xdr:row>32</xdr:row>
      <xdr:rowOff>95250</xdr:rowOff>
    </xdr:to>
    <xdr:graphicFrame macro="">
      <xdr:nvGraphicFramePr>
        <xdr:cNvPr id="3" name="Chart 2">
          <a:extLst>
            <a:ext uri="{FF2B5EF4-FFF2-40B4-BE49-F238E27FC236}">
              <a16:creationId xmlns:a16="http://schemas.microsoft.com/office/drawing/2014/main" id="{986562DD-186E-4D38-9637-913A633D9C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238125</xdr:colOff>
      <xdr:row>21</xdr:row>
      <xdr:rowOff>9525</xdr:rowOff>
    </xdr:from>
    <xdr:to>
      <xdr:col>20</xdr:col>
      <xdr:colOff>571500</xdr:colOff>
      <xdr:row>32</xdr:row>
      <xdr:rowOff>104774</xdr:rowOff>
    </xdr:to>
    <xdr:graphicFrame macro="">
      <xdr:nvGraphicFramePr>
        <xdr:cNvPr id="5" name="Chart 4">
          <a:extLst>
            <a:ext uri="{FF2B5EF4-FFF2-40B4-BE49-F238E27FC236}">
              <a16:creationId xmlns:a16="http://schemas.microsoft.com/office/drawing/2014/main" id="{81E8E45D-6A15-4BB3-A3A8-3C8668CB75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0</xdr:row>
      <xdr:rowOff>0</xdr:rowOff>
    </xdr:from>
    <xdr:to>
      <xdr:col>28</xdr:col>
      <xdr:colOff>133350</xdr:colOff>
      <xdr:row>3</xdr:row>
      <xdr:rowOff>9524</xdr:rowOff>
    </xdr:to>
    <xdr:sp macro="" textlink="">
      <xdr:nvSpPr>
        <xdr:cNvPr id="18" name="TextBox 17">
          <a:extLst>
            <a:ext uri="{FF2B5EF4-FFF2-40B4-BE49-F238E27FC236}">
              <a16:creationId xmlns:a16="http://schemas.microsoft.com/office/drawing/2014/main" id="{1CAC8583-62CF-48AA-A1A7-0DD48F4EFAE6}"/>
            </a:ext>
          </a:extLst>
        </xdr:cNvPr>
        <xdr:cNvSpPr txBox="1"/>
      </xdr:nvSpPr>
      <xdr:spPr>
        <a:xfrm>
          <a:off x="1" y="0"/>
          <a:ext cx="18183224" cy="581024"/>
        </a:xfrm>
        <a:prstGeom prst="rect">
          <a:avLst/>
        </a:prstGeom>
        <a:solidFill>
          <a:schemeClr val="bg1">
            <a:lumMod val="85000"/>
          </a:schemeClr>
        </a:solidFill>
        <a:ln>
          <a:noFill/>
        </a:ln>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400" b="0" i="0" u="none" strike="noStrike" kern="0" cap="none" spc="0" normalizeH="0" baseline="0" noProof="0">
              <a:ln>
                <a:noFill/>
              </a:ln>
              <a:solidFill>
                <a:schemeClr val="bg2">
                  <a:lumMod val="25000"/>
                </a:schemeClr>
              </a:solidFill>
              <a:effectLst/>
              <a:uLnTx/>
              <a:uFillTx/>
              <a:latin typeface="Segoe UI Semibold" panose="020B0702040204020203" pitchFamily="34" charset="0"/>
              <a:ea typeface="+mn-ea"/>
              <a:cs typeface="Segoe UI Semibold" panose="020B0702040204020203" pitchFamily="34" charset="0"/>
            </a:rPr>
            <a:t>Inventory Valuation</a:t>
          </a:r>
        </a:p>
      </xdr:txBody>
    </xdr:sp>
    <xdr:clientData/>
  </xdr:twoCellAnchor>
  <xdr:twoCellAnchor>
    <xdr:from>
      <xdr:col>9</xdr:col>
      <xdr:colOff>438149</xdr:colOff>
      <xdr:row>4</xdr:row>
      <xdr:rowOff>152399</xdr:rowOff>
    </xdr:from>
    <xdr:to>
      <xdr:col>13</xdr:col>
      <xdr:colOff>495300</xdr:colOff>
      <xdr:row>17</xdr:row>
      <xdr:rowOff>133350</xdr:rowOff>
    </xdr:to>
    <xdr:grpSp>
      <xdr:nvGrpSpPr>
        <xdr:cNvPr id="33" name="Group 32">
          <a:extLst>
            <a:ext uri="{FF2B5EF4-FFF2-40B4-BE49-F238E27FC236}">
              <a16:creationId xmlns:a16="http://schemas.microsoft.com/office/drawing/2014/main" id="{9FD19638-0988-4371-8C5E-7505EF954598}"/>
            </a:ext>
          </a:extLst>
        </xdr:cNvPr>
        <xdr:cNvGrpSpPr/>
      </xdr:nvGrpSpPr>
      <xdr:grpSpPr>
        <a:xfrm>
          <a:off x="6267449" y="914399"/>
          <a:ext cx="2495551" cy="2457451"/>
          <a:chOff x="563956" y="1105834"/>
          <a:chExt cx="2413957" cy="2333295"/>
        </a:xfrm>
      </xdr:grpSpPr>
      <xdr:grpSp>
        <xdr:nvGrpSpPr>
          <xdr:cNvPr id="35" name="Group 34">
            <a:extLst>
              <a:ext uri="{FF2B5EF4-FFF2-40B4-BE49-F238E27FC236}">
                <a16:creationId xmlns:a16="http://schemas.microsoft.com/office/drawing/2014/main" id="{2C097DC2-B56F-42DC-A291-7F3CDC1F104D}"/>
              </a:ext>
            </a:extLst>
          </xdr:cNvPr>
          <xdr:cNvGrpSpPr/>
        </xdr:nvGrpSpPr>
        <xdr:grpSpPr>
          <a:xfrm>
            <a:off x="563956" y="1105834"/>
            <a:ext cx="2413957" cy="2333295"/>
            <a:chOff x="342901" y="790575"/>
            <a:chExt cx="2334332" cy="2304318"/>
          </a:xfrm>
        </xdr:grpSpPr>
        <xdr:grpSp>
          <xdr:nvGrpSpPr>
            <xdr:cNvPr id="37" name="Group 36">
              <a:extLst>
                <a:ext uri="{FF2B5EF4-FFF2-40B4-BE49-F238E27FC236}">
                  <a16:creationId xmlns:a16="http://schemas.microsoft.com/office/drawing/2014/main" id="{19279720-5482-4D62-8DA0-80C6E2768ABA}"/>
                </a:ext>
              </a:extLst>
            </xdr:cNvPr>
            <xdr:cNvGrpSpPr/>
          </xdr:nvGrpSpPr>
          <xdr:grpSpPr>
            <a:xfrm>
              <a:off x="342901" y="790575"/>
              <a:ext cx="2327763" cy="2304318"/>
              <a:chOff x="771526" y="752475"/>
              <a:chExt cx="2327763" cy="2304318"/>
            </a:xfrm>
          </xdr:grpSpPr>
          <xdr:grpSp>
            <xdr:nvGrpSpPr>
              <xdr:cNvPr id="39" name="Group 38">
                <a:extLst>
                  <a:ext uri="{FF2B5EF4-FFF2-40B4-BE49-F238E27FC236}">
                    <a16:creationId xmlns:a16="http://schemas.microsoft.com/office/drawing/2014/main" id="{8E35C2AC-8D60-4F2C-BAC9-2ED412DA221F}"/>
                  </a:ext>
                </a:extLst>
              </xdr:cNvPr>
              <xdr:cNvGrpSpPr/>
            </xdr:nvGrpSpPr>
            <xdr:grpSpPr>
              <a:xfrm>
                <a:off x="771526" y="752475"/>
                <a:ext cx="2327763" cy="2304318"/>
                <a:chOff x="5920887" y="8107241"/>
                <a:chExt cx="2327763" cy="2304318"/>
              </a:xfrm>
            </xdr:grpSpPr>
            <xdr:sp macro="" textlink="">
              <xdr:nvSpPr>
                <xdr:cNvPr id="41" name="Rectangle: Rounded Corners 40">
                  <a:extLst>
                    <a:ext uri="{FF2B5EF4-FFF2-40B4-BE49-F238E27FC236}">
                      <a16:creationId xmlns:a16="http://schemas.microsoft.com/office/drawing/2014/main" id="{B5E1AEF4-3561-44B8-A1F4-317BA958C65A}"/>
                    </a:ext>
                  </a:extLst>
                </xdr:cNvPr>
                <xdr:cNvSpPr/>
              </xdr:nvSpPr>
              <xdr:spPr>
                <a:xfrm>
                  <a:off x="5920887" y="8107241"/>
                  <a:ext cx="2327763" cy="2304318"/>
                </a:xfrm>
                <a:prstGeom prst="roundRect">
                  <a:avLst/>
                </a:prstGeom>
                <a:solidFill>
                  <a:schemeClr val="bg1">
                    <a:lumMod val="85000"/>
                  </a:schemeClr>
                </a:solidFill>
                <a:ln>
                  <a:noFill/>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lumMod val="75000"/>
                        <a:lumOff val="25000"/>
                      </a:sysClr>
                    </a:solidFill>
                    <a:effectLst/>
                    <a:uLnTx/>
                    <a:uFillTx/>
                    <a:latin typeface="Segoe UI Semibold" panose="020B0702040204020203" pitchFamily="34" charset="0"/>
                    <a:ea typeface="+mn-ea"/>
                    <a:cs typeface="Segoe UI Semibold" panose="020B0702040204020203" pitchFamily="34" charset="0"/>
                  </a:endParaRPr>
                </a:p>
              </xdr:txBody>
            </xdr:sp>
            <xdr:sp macro="" textlink="">
              <xdr:nvSpPr>
                <xdr:cNvPr id="42" name="TextBox 41">
                  <a:extLst>
                    <a:ext uri="{FF2B5EF4-FFF2-40B4-BE49-F238E27FC236}">
                      <a16:creationId xmlns:a16="http://schemas.microsoft.com/office/drawing/2014/main" id="{95FBFB4C-169E-494B-B892-535E31D4611D}"/>
                    </a:ext>
                  </a:extLst>
                </xdr:cNvPr>
                <xdr:cNvSpPr txBox="1"/>
              </xdr:nvSpPr>
              <xdr:spPr>
                <a:xfrm>
                  <a:off x="6031935" y="8290990"/>
                  <a:ext cx="1892456" cy="808738"/>
                </a:xfrm>
                <a:prstGeom prst="rect">
                  <a:avLst/>
                </a:prstGeom>
                <a:noFill/>
                <a:ln w="9525" cmpd="sng">
                  <a:noFill/>
                </a:ln>
                <a:effectLst/>
              </xdr:spPr>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CURRENT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NON-COMMIT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SHARE</a:t>
                  </a:r>
                </a:p>
              </xdr:txBody>
            </xdr:sp>
          </xdr:grpSp>
          <xdr:cxnSp macro="">
            <xdr:nvCxnSpPr>
              <xdr:cNvPr id="40" name="Straight Connector 39">
                <a:extLst>
                  <a:ext uri="{FF2B5EF4-FFF2-40B4-BE49-F238E27FC236}">
                    <a16:creationId xmlns:a16="http://schemas.microsoft.com/office/drawing/2014/main" id="{0469A4EB-8705-40CE-BB5F-F46D1B580276}"/>
                  </a:ext>
                </a:extLst>
              </xdr:cNvPr>
              <xdr:cNvCxnSpPr/>
            </xdr:nvCxnSpPr>
            <xdr:spPr>
              <a:xfrm flipH="1">
                <a:off x="781050" y="1031081"/>
                <a:ext cx="8504" cy="1731169"/>
              </a:xfrm>
              <a:prstGeom prst="line">
                <a:avLst/>
              </a:prstGeom>
              <a:noFill/>
              <a:ln w="31750" cap="flat" cmpd="sng" algn="ctr">
                <a:solidFill>
                  <a:schemeClr val="accent1">
                    <a:lumMod val="50000"/>
                  </a:schemeClr>
                </a:solidFill>
                <a:prstDash val="solid"/>
                <a:miter lim="800000"/>
              </a:ln>
              <a:effectLst/>
            </xdr:spPr>
          </xdr:cxnSp>
        </xdr:grpSp>
        <xdr:sp macro="" textlink="Calculations!G49">
          <xdr:nvSpPr>
            <xdr:cNvPr id="38" name="TextBox 37">
              <a:extLst>
                <a:ext uri="{FF2B5EF4-FFF2-40B4-BE49-F238E27FC236}">
                  <a16:creationId xmlns:a16="http://schemas.microsoft.com/office/drawing/2014/main" id="{7BAC3A84-8DDB-46A9-9EE4-8B3347098827}"/>
                </a:ext>
              </a:extLst>
            </xdr:cNvPr>
            <xdr:cNvSpPr txBox="1"/>
          </xdr:nvSpPr>
          <xdr:spPr>
            <a:xfrm>
              <a:off x="400758" y="2046051"/>
              <a:ext cx="2276475" cy="63817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01C28FC8-7180-4E00-A600-46AD53692F4F}" type="TxLink">
                <a:rPr kumimoji="0" lang="en-US" sz="2800" b="0" i="0" u="none" strike="noStrike" kern="0" cap="none" spc="0" normalizeH="0" baseline="0" noProof="0">
                  <a:ln>
                    <a:noFill/>
                  </a:ln>
                  <a:solidFill>
                    <a:schemeClr val="tx1">
                      <a:lumMod val="75000"/>
                      <a:lumOff val="25000"/>
                    </a:schemeClr>
                  </a:solidFill>
                  <a:effectLst/>
                  <a:uLnTx/>
                  <a:uFillTx/>
                  <a:latin typeface="Segoe UI Semibold" panose="020B0702040204020203" pitchFamily="34" charset="0"/>
                  <a:ea typeface="Calibri"/>
                  <a:cs typeface="Segoe UI Semibold" panose="020B0702040204020203" pitchFamily="34" charset="0"/>
                </a:rPr>
                <a:pPr marL="0" marR="0" lvl="0" indent="0" algn="l" defTabSz="914400" eaLnBrk="1" fontAlgn="auto" latinLnBrk="0" hangingPunct="1">
                  <a:lnSpc>
                    <a:spcPct val="100000"/>
                  </a:lnSpc>
                  <a:spcBef>
                    <a:spcPts val="0"/>
                  </a:spcBef>
                  <a:spcAft>
                    <a:spcPts val="0"/>
                  </a:spcAft>
                  <a:buClrTx/>
                  <a:buSzTx/>
                  <a:buFontTx/>
                  <a:buNone/>
                  <a:tabLst/>
                  <a:defRPr/>
                </a:pPr>
                <a:t>49.63%</a:t>
              </a:fld>
              <a:endParaRPr kumimoji="0" lang="en-US" sz="177700" b="0" i="0" u="none" strike="noStrike" kern="0" cap="none" spc="0" normalizeH="0" baseline="0" noProof="0">
                <a:ln>
                  <a:noFill/>
                </a:ln>
                <a:solidFill>
                  <a:schemeClr val="tx1">
                    <a:lumMod val="75000"/>
                    <a:lumOff val="25000"/>
                  </a:schemeClr>
                </a:solidFill>
                <a:effectLst/>
                <a:uLnTx/>
                <a:uFillTx/>
                <a:latin typeface="Segoe UI Semibold" panose="020B0702040204020203" pitchFamily="34" charset="0"/>
                <a:ea typeface="+mn-ea"/>
                <a:cs typeface="Segoe UI Semibold" panose="020B0702040204020203" pitchFamily="34" charset="0"/>
              </a:endParaRPr>
            </a:p>
          </xdr:txBody>
        </xdr:sp>
      </xdr:grpSp>
      <xdr:sp macro="" textlink="">
        <xdr:nvSpPr>
          <xdr:cNvPr id="36" name="TextBox 35">
            <a:extLst>
              <a:ext uri="{FF2B5EF4-FFF2-40B4-BE49-F238E27FC236}">
                <a16:creationId xmlns:a16="http://schemas.microsoft.com/office/drawing/2014/main" id="{92519605-70B7-4653-A0D4-2E425642B948}"/>
              </a:ext>
            </a:extLst>
          </xdr:cNvPr>
          <xdr:cNvSpPr txBox="1"/>
        </xdr:nvSpPr>
        <xdr:spPr>
          <a:xfrm>
            <a:off x="666301" y="1921985"/>
            <a:ext cx="1915429" cy="495196"/>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lumMod val="50000"/>
                  </a:sysClr>
                </a:solidFill>
                <a:effectLst/>
                <a:uLnTx/>
                <a:uFillTx/>
                <a:latin typeface="Segoe UI" panose="020B0502040204020203" pitchFamily="34" charset="0"/>
                <a:ea typeface="+mn-ea"/>
                <a:cs typeface="Segoe UI" panose="020B0502040204020203" pitchFamily="34" charset="0"/>
              </a:rPr>
              <a:t>% OF TOTAL INVENTORY</a:t>
            </a:r>
          </a:p>
          <a:p>
            <a:pPr marL="0" marR="0" lvl="0" indent="0"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lumMod val="50000"/>
                  </a:sysClr>
                </a:solidFill>
                <a:effectLst/>
                <a:uLnTx/>
                <a:uFillTx/>
                <a:latin typeface="Segoe UI" panose="020B0502040204020203" pitchFamily="34" charset="0"/>
                <a:ea typeface="+mn-ea"/>
                <a:cs typeface="Segoe UI" panose="020B0502040204020203" pitchFamily="34" charset="0"/>
              </a:rPr>
              <a:t>VALUE NON-COMMITTED </a:t>
            </a:r>
            <a:endParaRPr kumimoji="0" lang="en-US" sz="800" b="0" i="0" u="none" strike="noStrike" kern="0" cap="none" spc="0" normalizeH="0" baseline="0" noProof="0">
              <a:ln>
                <a:noFill/>
              </a:ln>
              <a:solidFill>
                <a:sysClr val="window" lastClr="FFFFFF">
                  <a:lumMod val="50000"/>
                </a:sysClr>
              </a:solidFill>
              <a:effectLst/>
              <a:uLnTx/>
              <a:uFillTx/>
              <a:latin typeface="Segoe UI Semibold" panose="020B0702040204020203" pitchFamily="34" charset="0"/>
              <a:ea typeface="+mn-ea"/>
              <a:cs typeface="Segoe UI Semibold" panose="020B0702040204020203" pitchFamily="34" charset="0"/>
            </a:endParaRPr>
          </a:p>
        </xdr:txBody>
      </xdr:sp>
    </xdr:grpSp>
    <xdr:clientData/>
  </xdr:twoCellAnchor>
  <xdr:twoCellAnchor>
    <xdr:from>
      <xdr:col>4</xdr:col>
      <xdr:colOff>542915</xdr:colOff>
      <xdr:row>4</xdr:row>
      <xdr:rowOff>152399</xdr:rowOff>
    </xdr:from>
    <xdr:to>
      <xdr:col>9</xdr:col>
      <xdr:colOff>9520</xdr:colOff>
      <xdr:row>17</xdr:row>
      <xdr:rowOff>142874</xdr:rowOff>
    </xdr:to>
    <xdr:grpSp>
      <xdr:nvGrpSpPr>
        <xdr:cNvPr id="44" name="Group 43">
          <a:extLst>
            <a:ext uri="{FF2B5EF4-FFF2-40B4-BE49-F238E27FC236}">
              <a16:creationId xmlns:a16="http://schemas.microsoft.com/office/drawing/2014/main" id="{8AE54B0F-FD18-48D2-97FC-B6F8CED5E601}"/>
            </a:ext>
          </a:extLst>
        </xdr:cNvPr>
        <xdr:cNvGrpSpPr/>
      </xdr:nvGrpSpPr>
      <xdr:grpSpPr>
        <a:xfrm>
          <a:off x="3324215" y="914399"/>
          <a:ext cx="2514605" cy="2466975"/>
          <a:chOff x="563956" y="1105834"/>
          <a:chExt cx="2423133" cy="2333295"/>
        </a:xfrm>
      </xdr:grpSpPr>
      <xdr:grpSp>
        <xdr:nvGrpSpPr>
          <xdr:cNvPr id="46" name="Group 45">
            <a:extLst>
              <a:ext uri="{FF2B5EF4-FFF2-40B4-BE49-F238E27FC236}">
                <a16:creationId xmlns:a16="http://schemas.microsoft.com/office/drawing/2014/main" id="{7C774DD6-F781-462C-9947-7FC52003EAB5}"/>
              </a:ext>
            </a:extLst>
          </xdr:cNvPr>
          <xdr:cNvGrpSpPr/>
        </xdr:nvGrpSpPr>
        <xdr:grpSpPr>
          <a:xfrm>
            <a:off x="563956" y="1105834"/>
            <a:ext cx="2423133" cy="2333295"/>
            <a:chOff x="342900" y="790575"/>
            <a:chExt cx="2343201" cy="2304318"/>
          </a:xfrm>
        </xdr:grpSpPr>
        <xdr:grpSp>
          <xdr:nvGrpSpPr>
            <xdr:cNvPr id="48" name="Group 47">
              <a:extLst>
                <a:ext uri="{FF2B5EF4-FFF2-40B4-BE49-F238E27FC236}">
                  <a16:creationId xmlns:a16="http://schemas.microsoft.com/office/drawing/2014/main" id="{14050C97-7B27-42A0-ACEA-759C59413C93}"/>
                </a:ext>
              </a:extLst>
            </xdr:cNvPr>
            <xdr:cNvGrpSpPr/>
          </xdr:nvGrpSpPr>
          <xdr:grpSpPr>
            <a:xfrm>
              <a:off x="342900" y="790575"/>
              <a:ext cx="2327762" cy="2304318"/>
              <a:chOff x="771525" y="752475"/>
              <a:chExt cx="2327762" cy="2304318"/>
            </a:xfrm>
          </xdr:grpSpPr>
          <xdr:grpSp>
            <xdr:nvGrpSpPr>
              <xdr:cNvPr id="50" name="Group 49">
                <a:extLst>
                  <a:ext uri="{FF2B5EF4-FFF2-40B4-BE49-F238E27FC236}">
                    <a16:creationId xmlns:a16="http://schemas.microsoft.com/office/drawing/2014/main" id="{68E0253A-DC2B-4C9F-8479-A3815C09290C}"/>
                  </a:ext>
                </a:extLst>
              </xdr:cNvPr>
              <xdr:cNvGrpSpPr/>
            </xdr:nvGrpSpPr>
            <xdr:grpSpPr>
              <a:xfrm>
                <a:off x="771525" y="752475"/>
                <a:ext cx="2327762" cy="2304318"/>
                <a:chOff x="5920886" y="8107241"/>
                <a:chExt cx="2327762" cy="2304318"/>
              </a:xfrm>
            </xdr:grpSpPr>
            <xdr:sp macro="" textlink="">
              <xdr:nvSpPr>
                <xdr:cNvPr id="52" name="Rectangle: Rounded Corners 51">
                  <a:extLst>
                    <a:ext uri="{FF2B5EF4-FFF2-40B4-BE49-F238E27FC236}">
                      <a16:creationId xmlns:a16="http://schemas.microsoft.com/office/drawing/2014/main" id="{F6E2FC7E-3419-4E4A-94FB-6269EE2EDAF3}"/>
                    </a:ext>
                  </a:extLst>
                </xdr:cNvPr>
                <xdr:cNvSpPr/>
              </xdr:nvSpPr>
              <xdr:spPr>
                <a:xfrm>
                  <a:off x="5920886" y="8107241"/>
                  <a:ext cx="2327762" cy="2304318"/>
                </a:xfrm>
                <a:prstGeom prst="roundRect">
                  <a:avLst/>
                </a:prstGeom>
                <a:solidFill>
                  <a:schemeClr val="bg1">
                    <a:lumMod val="85000"/>
                  </a:schemeClr>
                </a:solidFill>
                <a:ln>
                  <a:noFill/>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lumMod val="75000"/>
                        <a:lumOff val="25000"/>
                      </a:sysClr>
                    </a:solidFill>
                    <a:effectLst/>
                    <a:uLnTx/>
                    <a:uFillTx/>
                    <a:latin typeface="Segoe UI Semibold" panose="020B0702040204020203" pitchFamily="34" charset="0"/>
                    <a:ea typeface="+mn-ea"/>
                    <a:cs typeface="Segoe UI Semibold" panose="020B0702040204020203" pitchFamily="34" charset="0"/>
                  </a:endParaRPr>
                </a:p>
              </xdr:txBody>
            </xdr:sp>
            <xdr:sp macro="" textlink="">
              <xdr:nvSpPr>
                <xdr:cNvPr id="53" name="TextBox 52">
                  <a:extLst>
                    <a:ext uri="{FF2B5EF4-FFF2-40B4-BE49-F238E27FC236}">
                      <a16:creationId xmlns:a16="http://schemas.microsoft.com/office/drawing/2014/main" id="{75CCB3AA-C073-4D91-A915-7B9D07CF119A}"/>
                    </a:ext>
                  </a:extLst>
                </xdr:cNvPr>
                <xdr:cNvSpPr txBox="1"/>
              </xdr:nvSpPr>
              <xdr:spPr>
                <a:xfrm>
                  <a:off x="6031935" y="8290991"/>
                  <a:ext cx="1892456" cy="659551"/>
                </a:xfrm>
                <a:prstGeom prst="rect">
                  <a:avLst/>
                </a:prstGeom>
                <a:noFill/>
                <a:ln w="9525" cmpd="sng">
                  <a:noFill/>
                </a:ln>
                <a:effectLst/>
              </xdr:spPr>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CURRENT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NON-COMMIT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VALUE</a:t>
                  </a:r>
                </a:p>
              </xdr:txBody>
            </xdr:sp>
          </xdr:grpSp>
          <xdr:cxnSp macro="">
            <xdr:nvCxnSpPr>
              <xdr:cNvPr id="51" name="Straight Connector 50">
                <a:extLst>
                  <a:ext uri="{FF2B5EF4-FFF2-40B4-BE49-F238E27FC236}">
                    <a16:creationId xmlns:a16="http://schemas.microsoft.com/office/drawing/2014/main" id="{E123E880-AFE7-4301-BF03-92134379514E}"/>
                  </a:ext>
                </a:extLst>
              </xdr:cNvPr>
              <xdr:cNvCxnSpPr/>
            </xdr:nvCxnSpPr>
            <xdr:spPr>
              <a:xfrm flipH="1">
                <a:off x="781050" y="1031081"/>
                <a:ext cx="8504" cy="1731169"/>
              </a:xfrm>
              <a:prstGeom prst="line">
                <a:avLst/>
              </a:prstGeom>
              <a:noFill/>
              <a:ln w="31750" cap="flat" cmpd="sng" algn="ctr">
                <a:solidFill>
                  <a:schemeClr val="accent1">
                    <a:lumMod val="50000"/>
                  </a:schemeClr>
                </a:solidFill>
                <a:prstDash val="solid"/>
                <a:miter lim="800000"/>
              </a:ln>
              <a:effectLst/>
            </xdr:spPr>
          </xdr:cxnSp>
        </xdr:grpSp>
        <xdr:sp macro="" textlink="Calculations!F49">
          <xdr:nvSpPr>
            <xdr:cNvPr id="49" name="TextBox 48">
              <a:extLst>
                <a:ext uri="{FF2B5EF4-FFF2-40B4-BE49-F238E27FC236}">
                  <a16:creationId xmlns:a16="http://schemas.microsoft.com/office/drawing/2014/main" id="{1B0F56A6-D049-4843-9F58-64F1258F1405}"/>
                </a:ext>
              </a:extLst>
            </xdr:cNvPr>
            <xdr:cNvSpPr txBox="1"/>
          </xdr:nvSpPr>
          <xdr:spPr>
            <a:xfrm>
              <a:off x="409626" y="2026672"/>
              <a:ext cx="2276475" cy="63817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C9B82F1E-9F66-466F-BC08-5FEF0EA9BB16}" type="TxLink">
                <a:rPr kumimoji="0" lang="en-US" sz="2800" b="0" i="0" u="none" strike="noStrike" kern="0" cap="none" spc="0" normalizeH="0" baseline="0" noProof="0">
                  <a:ln>
                    <a:noFill/>
                  </a:ln>
                  <a:solidFill>
                    <a:schemeClr val="tx1">
                      <a:lumMod val="75000"/>
                      <a:lumOff val="25000"/>
                    </a:schemeClr>
                  </a:solidFill>
                  <a:effectLst/>
                  <a:uLnTx/>
                  <a:uFillTx/>
                  <a:latin typeface="Segoe UI Semibold" panose="020B0702040204020203" pitchFamily="34" charset="0"/>
                  <a:ea typeface="Calibri"/>
                  <a:cs typeface="Segoe UI Semibold" panose="020B0702040204020203" pitchFamily="34" charset="0"/>
                </a:rPr>
                <a:pPr marL="0" marR="0" lvl="0" indent="0" algn="l" defTabSz="914400" eaLnBrk="1" fontAlgn="auto" latinLnBrk="0" hangingPunct="1">
                  <a:lnSpc>
                    <a:spcPct val="100000"/>
                  </a:lnSpc>
                  <a:spcBef>
                    <a:spcPts val="0"/>
                  </a:spcBef>
                  <a:spcAft>
                    <a:spcPts val="0"/>
                  </a:spcAft>
                  <a:buClrTx/>
                  <a:buSzTx/>
                  <a:buFontTx/>
                  <a:buNone/>
                  <a:tabLst/>
                  <a:defRPr/>
                </a:pPr>
                <a:t>$3.2M</a:t>
              </a:fld>
              <a:endParaRPr kumimoji="0" lang="en-US" sz="49600" b="0" i="0" u="none" strike="noStrike" kern="0" cap="none" spc="0" normalizeH="0" baseline="0" noProof="0">
                <a:ln>
                  <a:noFill/>
                </a:ln>
                <a:solidFill>
                  <a:schemeClr val="tx1">
                    <a:lumMod val="75000"/>
                    <a:lumOff val="25000"/>
                  </a:schemeClr>
                </a:solidFill>
                <a:effectLst/>
                <a:uLnTx/>
                <a:uFillTx/>
                <a:latin typeface="Segoe UI Semibold" panose="020B0702040204020203" pitchFamily="34" charset="0"/>
                <a:ea typeface="+mn-ea"/>
                <a:cs typeface="Segoe UI Semibold" panose="020B0702040204020203" pitchFamily="34" charset="0"/>
              </a:endParaRPr>
            </a:p>
          </xdr:txBody>
        </xdr:sp>
      </xdr:grpSp>
      <xdr:sp macro="" textlink="">
        <xdr:nvSpPr>
          <xdr:cNvPr id="47" name="TextBox 46">
            <a:extLst>
              <a:ext uri="{FF2B5EF4-FFF2-40B4-BE49-F238E27FC236}">
                <a16:creationId xmlns:a16="http://schemas.microsoft.com/office/drawing/2014/main" id="{4ECCD39D-8348-4B0A-869B-13858B6198B4}"/>
              </a:ext>
            </a:extLst>
          </xdr:cNvPr>
          <xdr:cNvSpPr txBox="1"/>
        </xdr:nvSpPr>
        <xdr:spPr>
          <a:xfrm>
            <a:off x="647839" y="1933998"/>
            <a:ext cx="2008827" cy="514158"/>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lumMod val="50000"/>
                  </a:sysClr>
                </a:solidFill>
                <a:effectLst/>
                <a:uLnTx/>
                <a:uFillTx/>
                <a:latin typeface="Segoe UI" panose="020B0502040204020203" pitchFamily="34" charset="0"/>
                <a:ea typeface="+mn-ea"/>
                <a:cs typeface="Segoe UI" panose="020B0502040204020203" pitchFamily="34" charset="0"/>
              </a:rPr>
              <a:t>TOTAL $ OF PRODUCTS WITHOUT ORDERS OR OPEN RELEASES </a:t>
            </a:r>
            <a:endParaRPr kumimoji="0" lang="en-US" sz="800" b="0" i="0" u="none" strike="noStrike" kern="0" cap="none" spc="0" normalizeH="0" baseline="0" noProof="0">
              <a:ln>
                <a:noFill/>
              </a:ln>
              <a:solidFill>
                <a:sysClr val="window" lastClr="FFFFFF">
                  <a:lumMod val="50000"/>
                </a:sysClr>
              </a:solidFill>
              <a:effectLst/>
              <a:uLnTx/>
              <a:uFillTx/>
              <a:latin typeface="Segoe UI Semibold" panose="020B0702040204020203" pitchFamily="34" charset="0"/>
              <a:ea typeface="+mn-ea"/>
              <a:cs typeface="Segoe UI Semibold" panose="020B0702040204020203" pitchFamily="34" charset="0"/>
            </a:endParaRPr>
          </a:p>
        </xdr:txBody>
      </xdr:sp>
    </xdr:grpSp>
    <xdr:clientData/>
  </xdr:twoCellAnchor>
  <xdr:twoCellAnchor>
    <xdr:from>
      <xdr:col>14</xdr:col>
      <xdr:colOff>342901</xdr:colOff>
      <xdr:row>4</xdr:row>
      <xdr:rowOff>19049</xdr:rowOff>
    </xdr:from>
    <xdr:to>
      <xdr:col>24</xdr:col>
      <xdr:colOff>762001</xdr:colOff>
      <xdr:row>19</xdr:row>
      <xdr:rowOff>123824</xdr:rowOff>
    </xdr:to>
    <xdr:graphicFrame macro="">
      <xdr:nvGraphicFramePr>
        <xdr:cNvPr id="56" name="Chart 55">
          <a:extLst>
            <a:ext uri="{FF2B5EF4-FFF2-40B4-BE49-F238E27FC236}">
              <a16:creationId xmlns:a16="http://schemas.microsoft.com/office/drawing/2014/main" id="{364CE0F5-2621-46A6-9A79-633534C675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24</xdr:col>
      <xdr:colOff>1109779</xdr:colOff>
      <xdr:row>4</xdr:row>
      <xdr:rowOff>19050</xdr:rowOff>
    </xdr:from>
    <xdr:to>
      <xdr:col>26</xdr:col>
      <xdr:colOff>21455</xdr:colOff>
      <xdr:row>12</xdr:row>
      <xdr:rowOff>104775</xdr:rowOff>
    </xdr:to>
    <mc:AlternateContent xmlns:mc="http://schemas.openxmlformats.org/markup-compatibility/2006">
      <mc:Choice xmlns:a14="http://schemas.microsoft.com/office/drawing/2010/main" Requires="a14">
        <xdr:graphicFrame macro="">
          <xdr:nvGraphicFramePr>
            <xdr:cNvPr id="57" name="Month End">
              <a:extLst>
                <a:ext uri="{FF2B5EF4-FFF2-40B4-BE49-F238E27FC236}">
                  <a16:creationId xmlns:a16="http://schemas.microsoft.com/office/drawing/2014/main" id="{432403F8-0451-4A1F-8BCA-E74E73FA4A9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 End"/>
            </a:graphicData>
          </a:graphic>
        </xdr:graphicFrame>
      </mc:Choice>
      <mc:Fallback>
        <xdr:sp macro="" textlink="">
          <xdr:nvSpPr>
            <xdr:cNvPr id="0" name=""/>
            <xdr:cNvSpPr>
              <a:spLocks noTextEdit="1"/>
            </xdr:cNvSpPr>
          </xdr:nvSpPr>
          <xdr:spPr>
            <a:xfrm>
              <a:off x="16073554" y="781050"/>
              <a:ext cx="1416751" cy="16097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24</xdr:col>
      <xdr:colOff>1107912</xdr:colOff>
      <xdr:row>13</xdr:row>
      <xdr:rowOff>17939</xdr:rowOff>
    </xdr:from>
    <xdr:to>
      <xdr:col>25</xdr:col>
      <xdr:colOff>390525</xdr:colOff>
      <xdr:row>15</xdr:row>
      <xdr:rowOff>26104</xdr:rowOff>
    </xdr:to>
    <xdr:sp macro="[1]!ClearAllFilters" textlink="">
      <xdr:nvSpPr>
        <xdr:cNvPr id="58" name="Rectangle 57">
          <a:extLst>
            <a:ext uri="{FF2B5EF4-FFF2-40B4-BE49-F238E27FC236}">
              <a16:creationId xmlns:a16="http://schemas.microsoft.com/office/drawing/2014/main" id="{AE342388-E1C2-4D88-83FF-003267E30191}"/>
            </a:ext>
          </a:extLst>
        </xdr:cNvPr>
        <xdr:cNvSpPr/>
      </xdr:nvSpPr>
      <xdr:spPr>
        <a:xfrm>
          <a:off x="16071687" y="2494439"/>
          <a:ext cx="539913" cy="389165"/>
        </a:xfrm>
        <a:prstGeom prst="rect">
          <a:avLst/>
        </a:prstGeom>
        <a:noFill/>
        <a:ln w="12700" cap="flat" cmpd="sng" algn="ctr">
          <a:solidFill>
            <a:schemeClr val="bg2">
              <a:lumMod val="90000"/>
            </a:scheme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chemeClr val="tx1">
                  <a:lumMod val="50000"/>
                  <a:lumOff val="50000"/>
                </a:schemeClr>
              </a:solidFill>
              <a:effectLst/>
              <a:uLnTx/>
              <a:uFillTx/>
              <a:latin typeface="Calibri" panose="020F0502020204030204"/>
              <a:ea typeface="+mn-ea"/>
              <a:cs typeface="+mn-cs"/>
            </a:rPr>
            <a:t>Clear All Filters</a:t>
          </a:r>
        </a:p>
      </xdr:txBody>
    </xdr:sp>
    <xdr:clientData/>
  </xdr:twoCellAnchor>
  <xdr:twoCellAnchor editAs="oneCell">
    <xdr:from>
      <xdr:col>7</xdr:col>
      <xdr:colOff>381000</xdr:colOff>
      <xdr:row>6</xdr:row>
      <xdr:rowOff>66064</xdr:rowOff>
    </xdr:from>
    <xdr:to>
      <xdr:col>8</xdr:col>
      <xdr:colOff>180975</xdr:colOff>
      <xdr:row>8</xdr:row>
      <xdr:rowOff>94639</xdr:rowOff>
    </xdr:to>
    <xdr:pic>
      <xdr:nvPicPr>
        <xdr:cNvPr id="4" name="Picture 3">
          <a:extLst>
            <a:ext uri="{FF2B5EF4-FFF2-40B4-BE49-F238E27FC236}">
              <a16:creationId xmlns:a16="http://schemas.microsoft.com/office/drawing/2014/main" id="{D2ADEAD6-3864-4F07-BF89-E9940A93A81C}"/>
            </a:ext>
          </a:extLst>
        </xdr:cNvPr>
        <xdr:cNvPicPr>
          <a:picLocks noChangeAspect="1"/>
        </xdr:cNvPicPr>
      </xdr:nvPicPr>
      <xdr:blipFill>
        <a:blip xmlns:r="http://schemas.openxmlformats.org/officeDocument/2006/relationships" r:embed="rId4"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4991100" y="1209064"/>
          <a:ext cx="409575" cy="409575"/>
        </a:xfrm>
        <a:prstGeom prst="rect">
          <a:avLst/>
        </a:prstGeom>
        <a:noFill/>
      </xdr:spPr>
    </xdr:pic>
    <xdr:clientData/>
  </xdr:twoCellAnchor>
  <xdr:twoCellAnchor editAs="oneCell">
    <xdr:from>
      <xdr:col>12</xdr:col>
      <xdr:colOff>276226</xdr:colOff>
      <xdr:row>6</xdr:row>
      <xdr:rowOff>66674</xdr:rowOff>
    </xdr:from>
    <xdr:to>
      <xdr:col>13</xdr:col>
      <xdr:colOff>105457</xdr:colOff>
      <xdr:row>8</xdr:row>
      <xdr:rowOff>124505</xdr:rowOff>
    </xdr:to>
    <xdr:pic>
      <xdr:nvPicPr>
        <xdr:cNvPr id="19" name="Picture 18">
          <a:extLst>
            <a:ext uri="{FF2B5EF4-FFF2-40B4-BE49-F238E27FC236}">
              <a16:creationId xmlns:a16="http://schemas.microsoft.com/office/drawing/2014/main" id="{37128042-35A4-456C-917A-B8217CF46976}"/>
            </a:ext>
          </a:extLst>
        </xdr:cNvPr>
        <xdr:cNvPicPr>
          <a:picLocks noChangeAspect="1"/>
        </xdr:cNvPicPr>
      </xdr:nvPicPr>
      <xdr:blipFill>
        <a:blip xmlns:r="http://schemas.openxmlformats.org/officeDocument/2006/relationships" r:embed="rId5" cstate="print">
          <a:duotone>
            <a:schemeClr val="bg2">
              <a:shade val="45000"/>
              <a:satMod val="135000"/>
            </a:schemeClr>
            <a:prstClr val="white"/>
          </a:duotone>
          <a:extLst>
            <a:ext uri="{28A0092B-C50C-407E-A947-70E740481C1C}">
              <a14:useLocalDpi xmlns:a14="http://schemas.microsoft.com/office/drawing/2010/main" val="0"/>
            </a:ext>
          </a:extLst>
        </a:blip>
        <a:stretch>
          <a:fillRect/>
        </a:stretch>
      </xdr:blipFill>
      <xdr:spPr>
        <a:xfrm>
          <a:off x="7934326" y="1209674"/>
          <a:ext cx="438831" cy="438831"/>
        </a:xfrm>
        <a:prstGeom prst="rect">
          <a:avLst/>
        </a:prstGeom>
      </xdr:spPr>
    </xdr:pic>
    <xdr:clientData/>
  </xdr:twoCellAnchor>
  <xdr:twoCellAnchor editAs="absolute">
    <xdr:from>
      <xdr:col>25</xdr:col>
      <xdr:colOff>127804</xdr:colOff>
      <xdr:row>32</xdr:row>
      <xdr:rowOff>131077</xdr:rowOff>
    </xdr:from>
    <xdr:to>
      <xdr:col>27</xdr:col>
      <xdr:colOff>232063</xdr:colOff>
      <xdr:row>34</xdr:row>
      <xdr:rowOff>16776</xdr:rowOff>
    </xdr:to>
    <xdr:grpSp>
      <xdr:nvGrpSpPr>
        <xdr:cNvPr id="55" name="Group 54">
          <a:extLst>
            <a:ext uri="{FF2B5EF4-FFF2-40B4-BE49-F238E27FC236}">
              <a16:creationId xmlns:a16="http://schemas.microsoft.com/office/drawing/2014/main" id="{EBA0F694-BAEA-4D27-AFFE-1DC9A57675A9}"/>
            </a:ext>
          </a:extLst>
        </xdr:cNvPr>
        <xdr:cNvGrpSpPr/>
      </xdr:nvGrpSpPr>
      <xdr:grpSpPr>
        <a:xfrm>
          <a:off x="16348879" y="7398652"/>
          <a:ext cx="1523484" cy="266699"/>
          <a:chOff x="17257661" y="7751916"/>
          <a:chExt cx="1529784" cy="325677"/>
        </a:xfrm>
      </xdr:grpSpPr>
      <xdr:sp macro="" textlink="">
        <xdr:nvSpPr>
          <xdr:cNvPr id="59" name="TextBox 58">
            <a:extLst>
              <a:ext uri="{FF2B5EF4-FFF2-40B4-BE49-F238E27FC236}">
                <a16:creationId xmlns:a16="http://schemas.microsoft.com/office/drawing/2014/main" id="{6BE5BE3D-6645-4595-8AA1-95BA9C9F7906}"/>
              </a:ext>
            </a:extLst>
          </xdr:cNvPr>
          <xdr:cNvSpPr txBox="1"/>
        </xdr:nvSpPr>
        <xdr:spPr>
          <a:xfrm>
            <a:off x="17257661" y="7751916"/>
            <a:ext cx="1333808" cy="299167"/>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900" b="0" i="1" u="none" strike="noStrike" kern="0" cap="none" spc="0" normalizeH="0" baseline="0" noProof="0">
                <a:ln>
                  <a:noFill/>
                </a:ln>
                <a:solidFill>
                  <a:sysClr val="windowText" lastClr="000000">
                    <a:lumMod val="50000"/>
                    <a:lumOff val="50000"/>
                  </a:sysClr>
                </a:solidFill>
                <a:effectLst/>
                <a:uLnTx/>
                <a:uFillTx/>
                <a:latin typeface="Calibri" panose="020F0502020204030204"/>
                <a:ea typeface="+mn-ea"/>
                <a:cs typeface="+mn-cs"/>
              </a:rPr>
              <a:t>Last </a:t>
            </a:r>
            <a:r>
              <a:rPr kumimoji="0" lang="en-US" sz="950" b="0" i="1" u="none" strike="noStrike" kern="0" cap="none" spc="0" normalizeH="0" baseline="0" noProof="0">
                <a:ln>
                  <a:noFill/>
                </a:ln>
                <a:solidFill>
                  <a:sysClr val="windowText" lastClr="000000">
                    <a:lumMod val="50000"/>
                    <a:lumOff val="50000"/>
                  </a:sysClr>
                </a:solidFill>
                <a:effectLst/>
                <a:uLnTx/>
                <a:uFillTx/>
                <a:latin typeface="Calibri" panose="020F0502020204030204"/>
                <a:ea typeface="+mn-ea"/>
                <a:cs typeface="+mn-cs"/>
              </a:rPr>
              <a:t>Updated</a:t>
            </a:r>
            <a:r>
              <a:rPr kumimoji="0" lang="en-US" sz="900" b="0" i="1" u="none" strike="noStrike" kern="0" cap="none" spc="0" normalizeH="0" baseline="0" noProof="0">
                <a:ln>
                  <a:noFill/>
                </a:ln>
                <a:solidFill>
                  <a:sysClr val="windowText" lastClr="000000">
                    <a:lumMod val="50000"/>
                    <a:lumOff val="50000"/>
                  </a:sysClr>
                </a:solidFill>
                <a:effectLst/>
                <a:uLnTx/>
                <a:uFillTx/>
                <a:latin typeface="Calibri" panose="020F0502020204030204"/>
                <a:ea typeface="+mn-ea"/>
                <a:cs typeface="+mn-cs"/>
              </a:rPr>
              <a:t>:</a:t>
            </a:r>
          </a:p>
        </xdr:txBody>
      </xdr:sp>
      <xdr:sp macro="" textlink="$A$47">
        <xdr:nvSpPr>
          <xdr:cNvPr id="60" name="TextBox 59">
            <a:extLst>
              <a:ext uri="{FF2B5EF4-FFF2-40B4-BE49-F238E27FC236}">
                <a16:creationId xmlns:a16="http://schemas.microsoft.com/office/drawing/2014/main" id="{5E01410F-0A28-48D2-9AA9-09AB25D13721}"/>
              </a:ext>
            </a:extLst>
          </xdr:cNvPr>
          <xdr:cNvSpPr txBox="1"/>
        </xdr:nvSpPr>
        <xdr:spPr>
          <a:xfrm>
            <a:off x="17968295" y="7779843"/>
            <a:ext cx="819150" cy="297750"/>
          </a:xfrm>
          <a:prstGeom prst="rect">
            <a:avLst/>
          </a:prstGeom>
          <a:noFill/>
          <a:ln>
            <a:noFill/>
          </a:ln>
          <a:effectLst/>
        </xdr:spPr>
        <xdr:txBody>
          <a:bodyPr vertOverflow="clip" horzOverflow="clip" wrap="square" rtlCol="0" anchor="t">
            <a:noAutofit/>
          </a:bodyPr>
          <a:lstStyle/>
          <a:p>
            <a:pPr marL="0" marR="0" lvl="0" indent="0" defTabSz="914400" eaLnBrk="1" fontAlgn="auto" latinLnBrk="0" hangingPunct="1">
              <a:lnSpc>
                <a:spcPct val="100000"/>
              </a:lnSpc>
              <a:spcBef>
                <a:spcPts val="0"/>
              </a:spcBef>
              <a:spcAft>
                <a:spcPts val="0"/>
              </a:spcAft>
              <a:buClrTx/>
              <a:buSzTx/>
              <a:buFontTx/>
              <a:buNone/>
              <a:tabLst/>
              <a:defRPr/>
            </a:pPr>
            <a:fld id="{F5ADF002-C8C3-477F-9C9F-6D2A6628F54A}" type="TxLink">
              <a:rPr kumimoji="0" lang="en-US" sz="800" b="0" i="0" u="none" strike="noStrike" kern="0" cap="none" spc="0" normalizeH="0" baseline="0" noProof="0">
                <a:ln>
                  <a:noFill/>
                </a:ln>
                <a:solidFill>
                  <a:schemeClr val="tx1">
                    <a:lumMod val="50000"/>
                    <a:lumOff val="50000"/>
                  </a:schemeClr>
                </a:solidFill>
                <a:effectLst/>
                <a:uLnTx/>
                <a:uFillTx/>
                <a:latin typeface="Calibri"/>
                <a:ea typeface="Calibri"/>
                <a:cs typeface="Calibri"/>
              </a:rPr>
              <a:pPr marL="0" marR="0" lvl="0" indent="0" defTabSz="914400" eaLnBrk="1" fontAlgn="auto" latinLnBrk="0" hangingPunct="1">
                <a:lnSpc>
                  <a:spcPct val="100000"/>
                </a:lnSpc>
                <a:spcBef>
                  <a:spcPts val="0"/>
                </a:spcBef>
                <a:spcAft>
                  <a:spcPts val="0"/>
                </a:spcAft>
                <a:buClrTx/>
                <a:buSzTx/>
                <a:buFontTx/>
                <a:buNone/>
                <a:tabLst/>
                <a:defRPr/>
              </a:pPr>
              <a:t>8/12/2026</a:t>
            </a:fld>
            <a:endParaRPr kumimoji="0" lang="en-US" sz="600" b="0" i="1" u="none" strike="noStrike" kern="0" cap="none" spc="0" normalizeH="0" baseline="0" noProof="0">
              <a:ln>
                <a:noFill/>
              </a:ln>
              <a:solidFill>
                <a:schemeClr val="tx1">
                  <a:lumMod val="50000"/>
                  <a:lumOff val="50000"/>
                </a:schemeClr>
              </a:solidFill>
              <a:effectLst/>
              <a:uLnTx/>
              <a:uFillTx/>
              <a:latin typeface="Calibri" panose="020F0502020204030204"/>
              <a:ea typeface="+mn-ea"/>
              <a:cs typeface="+mn-cs"/>
            </a:endParaRPr>
          </a:p>
        </xdr:txBody>
      </xdr:sp>
    </xdr:grpSp>
    <xdr:clientData/>
  </xdr:twoCellAnchor>
  <xdr:twoCellAnchor>
    <xdr:from>
      <xdr:col>22</xdr:col>
      <xdr:colOff>0</xdr:colOff>
      <xdr:row>21</xdr:row>
      <xdr:rowOff>0</xdr:rowOff>
    </xdr:from>
    <xdr:to>
      <xdr:col>27</xdr:col>
      <xdr:colOff>9525</xdr:colOff>
      <xdr:row>32</xdr:row>
      <xdr:rowOff>104775</xdr:rowOff>
    </xdr:to>
    <xdr:sp macro="" textlink="">
      <xdr:nvSpPr>
        <xdr:cNvPr id="2" name="Rectangle 1">
          <a:extLst>
            <a:ext uri="{FF2B5EF4-FFF2-40B4-BE49-F238E27FC236}">
              <a16:creationId xmlns:a16="http://schemas.microsoft.com/office/drawing/2014/main" id="{BDB424A2-BDBE-4702-BCC0-3699F5676DA2}"/>
            </a:ext>
          </a:extLst>
        </xdr:cNvPr>
        <xdr:cNvSpPr/>
      </xdr:nvSpPr>
      <xdr:spPr>
        <a:xfrm>
          <a:off x="13554075" y="4000500"/>
          <a:ext cx="4095750" cy="3371850"/>
        </a:xfrm>
        <a:prstGeom prst="rect">
          <a:avLst/>
        </a:prstGeom>
        <a:noFill/>
        <a:ln w="9525">
          <a:solidFill>
            <a:schemeClr val="bg1">
              <a:lumMod val="8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419100</xdr:colOff>
      <xdr:row>5</xdr:row>
      <xdr:rowOff>7632</xdr:rowOff>
    </xdr:from>
    <xdr:to>
      <xdr:col>4</xdr:col>
      <xdr:colOff>142875</xdr:colOff>
      <xdr:row>17</xdr:row>
      <xdr:rowOff>123825</xdr:rowOff>
    </xdr:to>
    <xdr:grpSp>
      <xdr:nvGrpSpPr>
        <xdr:cNvPr id="23" name="Group 22">
          <a:extLst>
            <a:ext uri="{FF2B5EF4-FFF2-40B4-BE49-F238E27FC236}">
              <a16:creationId xmlns:a16="http://schemas.microsoft.com/office/drawing/2014/main" id="{64B477AD-EF4D-442C-98F2-310EFF82EB0C}"/>
            </a:ext>
          </a:extLst>
        </xdr:cNvPr>
        <xdr:cNvGrpSpPr/>
      </xdr:nvGrpSpPr>
      <xdr:grpSpPr>
        <a:xfrm>
          <a:off x="419100" y="960132"/>
          <a:ext cx="2505075" cy="2402193"/>
          <a:chOff x="419100" y="960132"/>
          <a:chExt cx="2505075" cy="2402193"/>
        </a:xfrm>
      </xdr:grpSpPr>
      <xdr:grpSp>
        <xdr:nvGrpSpPr>
          <xdr:cNvPr id="7" name="Group 6">
            <a:extLst>
              <a:ext uri="{FF2B5EF4-FFF2-40B4-BE49-F238E27FC236}">
                <a16:creationId xmlns:a16="http://schemas.microsoft.com/office/drawing/2014/main" id="{2D936D99-B8EE-4D07-881A-FEBE24EA7B3E}"/>
              </a:ext>
            </a:extLst>
          </xdr:cNvPr>
          <xdr:cNvGrpSpPr/>
        </xdr:nvGrpSpPr>
        <xdr:grpSpPr>
          <a:xfrm>
            <a:off x="419100" y="960132"/>
            <a:ext cx="2505075" cy="2402193"/>
            <a:chOff x="563956" y="1092039"/>
            <a:chExt cx="2467637" cy="2301107"/>
          </a:xfrm>
        </xdr:grpSpPr>
        <xdr:grpSp>
          <xdr:nvGrpSpPr>
            <xdr:cNvPr id="8" name="Group 7">
              <a:extLst>
                <a:ext uri="{FF2B5EF4-FFF2-40B4-BE49-F238E27FC236}">
                  <a16:creationId xmlns:a16="http://schemas.microsoft.com/office/drawing/2014/main" id="{1C3EA392-00CD-4E90-91F3-1CB614B71479}"/>
                </a:ext>
              </a:extLst>
            </xdr:cNvPr>
            <xdr:cNvGrpSpPr/>
          </xdr:nvGrpSpPr>
          <xdr:grpSpPr>
            <a:xfrm>
              <a:off x="563956" y="1092039"/>
              <a:ext cx="2467637" cy="2301107"/>
              <a:chOff x="563956" y="1105834"/>
              <a:chExt cx="2470317" cy="2333295"/>
            </a:xfrm>
          </xdr:grpSpPr>
          <xdr:grpSp>
            <xdr:nvGrpSpPr>
              <xdr:cNvPr id="10" name="Group 9">
                <a:extLst>
                  <a:ext uri="{FF2B5EF4-FFF2-40B4-BE49-F238E27FC236}">
                    <a16:creationId xmlns:a16="http://schemas.microsoft.com/office/drawing/2014/main" id="{24A8601E-EE8B-4CBF-B21C-E6FC368E78E5}"/>
                  </a:ext>
                </a:extLst>
              </xdr:cNvPr>
              <xdr:cNvGrpSpPr/>
            </xdr:nvGrpSpPr>
            <xdr:grpSpPr>
              <a:xfrm>
                <a:off x="563956" y="1105834"/>
                <a:ext cx="2470317" cy="2333295"/>
                <a:chOff x="342900" y="790575"/>
                <a:chExt cx="2388831" cy="2304318"/>
              </a:xfrm>
            </xdr:grpSpPr>
            <xdr:grpSp>
              <xdr:nvGrpSpPr>
                <xdr:cNvPr id="12" name="Group 11">
                  <a:extLst>
                    <a:ext uri="{FF2B5EF4-FFF2-40B4-BE49-F238E27FC236}">
                      <a16:creationId xmlns:a16="http://schemas.microsoft.com/office/drawing/2014/main" id="{70C1AACC-4890-45E1-B7A3-BF5EF678DE63}"/>
                    </a:ext>
                  </a:extLst>
                </xdr:cNvPr>
                <xdr:cNvGrpSpPr/>
              </xdr:nvGrpSpPr>
              <xdr:grpSpPr>
                <a:xfrm>
                  <a:off x="342900" y="790575"/>
                  <a:ext cx="2327762" cy="2304318"/>
                  <a:chOff x="771525" y="752475"/>
                  <a:chExt cx="2327762" cy="2304318"/>
                </a:xfrm>
              </xdr:grpSpPr>
              <xdr:grpSp>
                <xdr:nvGrpSpPr>
                  <xdr:cNvPr id="14" name="Group 13">
                    <a:extLst>
                      <a:ext uri="{FF2B5EF4-FFF2-40B4-BE49-F238E27FC236}">
                        <a16:creationId xmlns:a16="http://schemas.microsoft.com/office/drawing/2014/main" id="{8937A37A-1E33-4BA5-B3D2-D2A93EFB140D}"/>
                      </a:ext>
                    </a:extLst>
                  </xdr:cNvPr>
                  <xdr:cNvGrpSpPr/>
                </xdr:nvGrpSpPr>
                <xdr:grpSpPr>
                  <a:xfrm>
                    <a:off x="771525" y="752475"/>
                    <a:ext cx="2327762" cy="2304318"/>
                    <a:chOff x="5920886" y="8107241"/>
                    <a:chExt cx="2327762" cy="2304318"/>
                  </a:xfrm>
                </xdr:grpSpPr>
                <xdr:sp macro="" textlink="">
                  <xdr:nvSpPr>
                    <xdr:cNvPr id="16" name="Rectangle: Rounded Corners 15">
                      <a:extLst>
                        <a:ext uri="{FF2B5EF4-FFF2-40B4-BE49-F238E27FC236}">
                          <a16:creationId xmlns:a16="http://schemas.microsoft.com/office/drawing/2014/main" id="{2BEB64AA-DA79-4C1F-9D86-681430E100F0}"/>
                        </a:ext>
                      </a:extLst>
                    </xdr:cNvPr>
                    <xdr:cNvSpPr/>
                  </xdr:nvSpPr>
                  <xdr:spPr>
                    <a:xfrm>
                      <a:off x="5920886" y="8107241"/>
                      <a:ext cx="2327762" cy="2304318"/>
                    </a:xfrm>
                    <a:prstGeom prst="roundRect">
                      <a:avLst/>
                    </a:prstGeom>
                    <a:solidFill>
                      <a:schemeClr val="bg1">
                        <a:lumMod val="85000"/>
                      </a:schemeClr>
                    </a:solidFill>
                    <a:ln>
                      <a:noFill/>
                    </a:ln>
                    <a:effectLst/>
                  </xdr:spPr>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0" cap="none" spc="0" normalizeH="0" baseline="0" noProof="0">
                        <a:ln>
                          <a:noFill/>
                        </a:ln>
                        <a:solidFill>
                          <a:sysClr val="windowText" lastClr="000000">
                            <a:lumMod val="75000"/>
                            <a:lumOff val="25000"/>
                          </a:sysClr>
                        </a:solidFill>
                        <a:effectLst/>
                        <a:uLnTx/>
                        <a:uFillTx/>
                        <a:latin typeface="Segoe UI Semibold" panose="020B0702040204020203" pitchFamily="34" charset="0"/>
                        <a:ea typeface="+mn-ea"/>
                        <a:cs typeface="Segoe UI Semibold" panose="020B0702040204020203" pitchFamily="34" charset="0"/>
                      </a:endParaRPr>
                    </a:p>
                  </xdr:txBody>
                </xdr:sp>
                <xdr:sp macro="" textlink="">
                  <xdr:nvSpPr>
                    <xdr:cNvPr id="17" name="TextBox 16">
                      <a:extLst>
                        <a:ext uri="{FF2B5EF4-FFF2-40B4-BE49-F238E27FC236}">
                          <a16:creationId xmlns:a16="http://schemas.microsoft.com/office/drawing/2014/main" id="{87D3B6A6-5D4E-4749-8B17-501850640C31}"/>
                        </a:ext>
                      </a:extLst>
                    </xdr:cNvPr>
                    <xdr:cNvSpPr txBox="1"/>
                  </xdr:nvSpPr>
                  <xdr:spPr>
                    <a:xfrm>
                      <a:off x="6031935" y="8243730"/>
                      <a:ext cx="1324066" cy="772807"/>
                    </a:xfrm>
                    <a:prstGeom prst="rect">
                      <a:avLst/>
                    </a:prstGeom>
                    <a:noFill/>
                    <a:ln w="9525" cmpd="sng">
                      <a:noFill/>
                    </a:ln>
                    <a:effectLst/>
                  </xdr:spPr>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CURRENT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INVENTORY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sysClr val="windowText" lastClr="000000">
                              <a:lumMod val="65000"/>
                              <a:lumOff val="35000"/>
                            </a:sysClr>
                          </a:solidFill>
                          <a:effectLst/>
                          <a:uLnTx/>
                          <a:uFillTx/>
                          <a:latin typeface="Segoe UI" panose="020B0502040204020203" pitchFamily="34" charset="0"/>
                          <a:ea typeface="+mn-ea"/>
                          <a:cs typeface="Segoe UI" panose="020B0502040204020203" pitchFamily="34" charset="0"/>
                        </a:rPr>
                        <a:t>VALUE</a:t>
                      </a:r>
                    </a:p>
                  </xdr:txBody>
                </xdr:sp>
              </xdr:grpSp>
              <xdr:cxnSp macro="">
                <xdr:nvCxnSpPr>
                  <xdr:cNvPr id="15" name="Straight Connector 14">
                    <a:extLst>
                      <a:ext uri="{FF2B5EF4-FFF2-40B4-BE49-F238E27FC236}">
                        <a16:creationId xmlns:a16="http://schemas.microsoft.com/office/drawing/2014/main" id="{10AD3485-394A-468F-A0E5-67033E155375}"/>
                      </a:ext>
                    </a:extLst>
                  </xdr:cNvPr>
                  <xdr:cNvCxnSpPr/>
                </xdr:nvCxnSpPr>
                <xdr:spPr>
                  <a:xfrm flipH="1">
                    <a:off x="781050" y="1031081"/>
                    <a:ext cx="8504" cy="1731169"/>
                  </a:xfrm>
                  <a:prstGeom prst="line">
                    <a:avLst/>
                  </a:prstGeom>
                  <a:noFill/>
                  <a:ln w="31750" cap="flat" cmpd="sng" algn="ctr">
                    <a:solidFill>
                      <a:schemeClr val="accent1">
                        <a:lumMod val="50000"/>
                      </a:schemeClr>
                    </a:solidFill>
                    <a:prstDash val="solid"/>
                    <a:miter lim="800000"/>
                  </a:ln>
                  <a:effectLst/>
                </xdr:spPr>
              </xdr:cxnSp>
            </xdr:grpSp>
            <xdr:sp macro="" textlink="Calculations!E48">
              <xdr:nvSpPr>
                <xdr:cNvPr id="13" name="TextBox 12">
                  <a:extLst>
                    <a:ext uri="{FF2B5EF4-FFF2-40B4-BE49-F238E27FC236}">
                      <a16:creationId xmlns:a16="http://schemas.microsoft.com/office/drawing/2014/main" id="{DA4DDF93-A4EE-422D-ADFF-F8C7644D2A2A}"/>
                    </a:ext>
                  </a:extLst>
                </xdr:cNvPr>
                <xdr:cNvSpPr txBox="1"/>
              </xdr:nvSpPr>
              <xdr:spPr>
                <a:xfrm>
                  <a:off x="397398" y="2009819"/>
                  <a:ext cx="2334333" cy="638175"/>
                </a:xfrm>
                <a:prstGeom prst="rect">
                  <a:avLst/>
                </a:prstGeom>
                <a:noFill/>
                <a:ln w="9525" cmpd="sng">
                  <a:noFill/>
                </a:ln>
                <a:effectLst/>
              </xdr:spPr>
              <xdr:txBody>
                <a:bodyPr vertOverflow="clip" horzOverflow="clip" wrap="square" rtlCol="0" anchor="ctr"/>
                <a:lstStyle/>
                <a:p>
                  <a:pPr marL="0" marR="0" lvl="0" indent="0" algn="l" defTabSz="914400" eaLnBrk="1" fontAlgn="auto" latinLnBrk="0" hangingPunct="1">
                    <a:lnSpc>
                      <a:spcPct val="100000"/>
                    </a:lnSpc>
                    <a:spcBef>
                      <a:spcPts val="0"/>
                    </a:spcBef>
                    <a:spcAft>
                      <a:spcPts val="0"/>
                    </a:spcAft>
                    <a:buClrTx/>
                    <a:buSzTx/>
                    <a:buFontTx/>
                    <a:buNone/>
                    <a:tabLst/>
                    <a:defRPr/>
                  </a:pPr>
                  <a:fld id="{4F10B8E3-CCD1-48E8-8911-C87DCE12ABF1}" type="TxLink">
                    <a:rPr kumimoji="0" lang="en-US" sz="2800" b="0" i="0" u="none" strike="noStrike" kern="0" cap="none" spc="0" normalizeH="0" baseline="0" noProof="0">
                      <a:ln>
                        <a:noFill/>
                      </a:ln>
                      <a:solidFill>
                        <a:schemeClr val="tx1">
                          <a:lumMod val="75000"/>
                          <a:lumOff val="25000"/>
                        </a:schemeClr>
                      </a:solidFill>
                      <a:effectLst/>
                      <a:uLnTx/>
                      <a:uFillTx/>
                      <a:latin typeface="Segoe UI Semibold" panose="020B0702040204020203" pitchFamily="34" charset="0"/>
                      <a:ea typeface="Calibri"/>
                      <a:cs typeface="Segoe UI Semibold" panose="020B0702040204020203" pitchFamily="34" charset="0"/>
                    </a:rPr>
                    <a:pPr marL="0" marR="0" lvl="0" indent="0" algn="l" defTabSz="914400" eaLnBrk="1" fontAlgn="auto" latinLnBrk="0" hangingPunct="1">
                      <a:lnSpc>
                        <a:spcPct val="100000"/>
                      </a:lnSpc>
                      <a:spcBef>
                        <a:spcPts val="0"/>
                      </a:spcBef>
                      <a:spcAft>
                        <a:spcPts val="0"/>
                      </a:spcAft>
                      <a:buClrTx/>
                      <a:buSzTx/>
                      <a:buFontTx/>
                      <a:buNone/>
                      <a:tabLst/>
                      <a:defRPr/>
                    </a:pPr>
                    <a:t>$6.5M</a:t>
                  </a:fld>
                  <a:endParaRPr kumimoji="0" lang="en-US" sz="13800" b="0" i="0" u="none" strike="noStrike" kern="0" cap="none" spc="0" normalizeH="0" baseline="0" noProof="0">
                    <a:ln>
                      <a:noFill/>
                    </a:ln>
                    <a:solidFill>
                      <a:schemeClr val="tx1">
                        <a:lumMod val="75000"/>
                        <a:lumOff val="25000"/>
                      </a:schemeClr>
                    </a:solidFill>
                    <a:effectLst/>
                    <a:uLnTx/>
                    <a:uFillTx/>
                    <a:latin typeface="Segoe UI Semibold" panose="020B0702040204020203" pitchFamily="34" charset="0"/>
                    <a:ea typeface="+mn-ea"/>
                    <a:cs typeface="Segoe UI Semibold" panose="020B0702040204020203" pitchFamily="34" charset="0"/>
                  </a:endParaRPr>
                </a:p>
              </xdr:txBody>
            </xdr:sp>
          </xdr:grpSp>
          <xdr:sp macro="" textlink="">
            <xdr:nvSpPr>
              <xdr:cNvPr id="11" name="TextBox 10">
                <a:extLst>
                  <a:ext uri="{FF2B5EF4-FFF2-40B4-BE49-F238E27FC236}">
                    <a16:creationId xmlns:a16="http://schemas.microsoft.com/office/drawing/2014/main" id="{053182BD-1488-440E-93AC-422401D864B1}"/>
                  </a:ext>
                </a:extLst>
              </xdr:cNvPr>
              <xdr:cNvSpPr txBox="1"/>
            </xdr:nvSpPr>
            <xdr:spPr>
              <a:xfrm>
                <a:off x="666839" y="1925153"/>
                <a:ext cx="1691149" cy="366751"/>
              </a:xfrm>
              <a:prstGeom prst="rect">
                <a:avLst/>
              </a:prstGeom>
              <a:noFill/>
              <a:ln w="9525" cmpd="sng">
                <a:noFill/>
              </a:ln>
              <a:effectLst/>
            </xdr:spPr>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800" b="0" i="0" u="none" strike="noStrike" kern="0" cap="none" spc="0" normalizeH="0" baseline="0" noProof="0">
                    <a:ln>
                      <a:noFill/>
                    </a:ln>
                    <a:solidFill>
                      <a:sysClr val="window" lastClr="FFFFFF">
                        <a:lumMod val="50000"/>
                      </a:sysClr>
                    </a:solidFill>
                    <a:effectLst/>
                    <a:uLnTx/>
                    <a:uFillTx/>
                    <a:latin typeface="Segoe UI" panose="020B0502040204020203" pitchFamily="34" charset="0"/>
                    <a:ea typeface="+mn-ea"/>
                    <a:cs typeface="Segoe UI" panose="020B0502040204020203" pitchFamily="34" charset="0"/>
                  </a:rPr>
                  <a:t>TOTAL INVENTORY $</a:t>
                </a:r>
              </a:p>
            </xdr:txBody>
          </xdr:sp>
        </xdr:grpSp>
        <xdr:pic>
          <xdr:nvPicPr>
            <xdr:cNvPr id="9" name="Graphic 8" descr="Box">
              <a:extLst>
                <a:ext uri="{FF2B5EF4-FFF2-40B4-BE49-F238E27FC236}">
                  <a16:creationId xmlns:a16="http://schemas.microsoft.com/office/drawing/2014/main" id="{50A3383D-2D4D-4BF5-B985-5498AC0664A5}"/>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169400" y="1321958"/>
              <a:ext cx="533701" cy="506159"/>
            </a:xfrm>
            <a:prstGeom prst="rect">
              <a:avLst/>
            </a:prstGeom>
          </xdr:spPr>
        </xdr:pic>
      </xdr:grpSp>
      <xdr:grpSp>
        <xdr:nvGrpSpPr>
          <xdr:cNvPr id="22" name="Group 21">
            <a:extLst>
              <a:ext uri="{FF2B5EF4-FFF2-40B4-BE49-F238E27FC236}">
                <a16:creationId xmlns:a16="http://schemas.microsoft.com/office/drawing/2014/main" id="{053FB226-B40E-4AFE-8636-9CB841FB35C5}"/>
              </a:ext>
            </a:extLst>
          </xdr:cNvPr>
          <xdr:cNvGrpSpPr/>
        </xdr:nvGrpSpPr>
        <xdr:grpSpPr>
          <a:xfrm>
            <a:off x="476250" y="2771775"/>
            <a:ext cx="1628774" cy="352425"/>
            <a:chOff x="476250" y="2771775"/>
            <a:chExt cx="1628774" cy="352425"/>
          </a:xfrm>
        </xdr:grpSpPr>
        <xdr:sp macro="" textlink="Calculations!D58">
          <xdr:nvSpPr>
            <xdr:cNvPr id="6" name="TextBox 5">
              <a:extLst>
                <a:ext uri="{FF2B5EF4-FFF2-40B4-BE49-F238E27FC236}">
                  <a16:creationId xmlns:a16="http://schemas.microsoft.com/office/drawing/2014/main" id="{FA87FCEA-2AC7-46AC-B1F8-71134E872D97}"/>
                </a:ext>
              </a:extLst>
            </xdr:cNvPr>
            <xdr:cNvSpPr txBox="1"/>
          </xdr:nvSpPr>
          <xdr:spPr>
            <a:xfrm>
              <a:off x="476250" y="2771775"/>
              <a:ext cx="790575"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3444D95-EAED-4668-9299-B6E1681E3AAF}" type="TxLink">
                <a:rPr lang="en-US" sz="1100" b="0" i="0" u="none" strike="noStrike">
                  <a:solidFill>
                    <a:schemeClr val="accent1">
                      <a:lumMod val="50000"/>
                    </a:schemeClr>
                  </a:solidFill>
                  <a:latin typeface="Segoe UI" panose="020B0502040204020203" pitchFamily="34" charset="0"/>
                  <a:ea typeface="Calibri"/>
                  <a:cs typeface="Segoe UI" panose="020B0502040204020203" pitchFamily="34" charset="0"/>
                </a:rPr>
                <a:pPr/>
                <a:t>▲ +5.9%</a:t>
              </a:fld>
              <a:endParaRPr lang="en-US" sz="1100">
                <a:solidFill>
                  <a:schemeClr val="accent1">
                    <a:lumMod val="50000"/>
                  </a:schemeClr>
                </a:solidFill>
                <a:latin typeface="Segoe UI" panose="020B0502040204020203" pitchFamily="34" charset="0"/>
                <a:cs typeface="Segoe UI" panose="020B0502040204020203" pitchFamily="34" charset="0"/>
              </a:endParaRPr>
            </a:p>
          </xdr:txBody>
        </xdr:sp>
        <xdr:sp macro="" textlink="">
          <xdr:nvSpPr>
            <xdr:cNvPr id="21" name="TextBox 20">
              <a:extLst>
                <a:ext uri="{FF2B5EF4-FFF2-40B4-BE49-F238E27FC236}">
                  <a16:creationId xmlns:a16="http://schemas.microsoft.com/office/drawing/2014/main" id="{C1064C25-C07C-4A3A-9C5A-405E0719473C}"/>
                </a:ext>
              </a:extLst>
            </xdr:cNvPr>
            <xdr:cNvSpPr txBox="1"/>
          </xdr:nvSpPr>
          <xdr:spPr>
            <a:xfrm>
              <a:off x="1085849" y="2790825"/>
              <a:ext cx="1019175" cy="314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cap="all" baseline="0">
                  <a:solidFill>
                    <a:schemeClr val="tx1">
                      <a:lumMod val="65000"/>
                      <a:lumOff val="35000"/>
                    </a:schemeClr>
                  </a:solidFill>
                  <a:latin typeface="Segoe UI" panose="020B0502040204020203" pitchFamily="34" charset="0"/>
                  <a:cs typeface="Segoe UI" panose="020B0502040204020203" pitchFamily="34" charset="0"/>
                </a:rPr>
                <a:t>vs. last month</a:t>
              </a:r>
            </a:p>
            <a:p>
              <a:endParaRPr lang="en-US" sz="900">
                <a:latin typeface="Segoe UI" panose="020B0502040204020203" pitchFamily="34" charset="0"/>
                <a:cs typeface="Segoe UI" panose="020B0502040204020203" pitchFamily="34" charset="0"/>
              </a:endParaRPr>
            </a:p>
          </xdr:txBody>
        </xdr:sp>
      </xdr:grpSp>
    </xdr:grpSp>
    <xdr:clientData/>
  </xdr:twoCellAnchor>
  <xdr:twoCellAnchor>
    <xdr:from>
      <xdr:col>5</xdr:col>
      <xdr:colOff>9524</xdr:colOff>
      <xdr:row>14</xdr:row>
      <xdr:rowOff>142874</xdr:rowOff>
    </xdr:from>
    <xdr:to>
      <xdr:col>6</xdr:col>
      <xdr:colOff>161924</xdr:colOff>
      <xdr:row>16</xdr:row>
      <xdr:rowOff>114299</xdr:rowOff>
    </xdr:to>
    <xdr:sp macro="" textlink="Calculations!D61">
      <xdr:nvSpPr>
        <xdr:cNvPr id="61" name="TextBox 60">
          <a:extLst>
            <a:ext uri="{FF2B5EF4-FFF2-40B4-BE49-F238E27FC236}">
              <a16:creationId xmlns:a16="http://schemas.microsoft.com/office/drawing/2014/main" id="{C7690225-EE16-4197-83B0-50676947CFD5}"/>
            </a:ext>
          </a:extLst>
        </xdr:cNvPr>
        <xdr:cNvSpPr txBox="1"/>
      </xdr:nvSpPr>
      <xdr:spPr>
        <a:xfrm>
          <a:off x="3400424" y="2809874"/>
          <a:ext cx="7620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AF25F1D-4011-44EA-AC25-6F2D5FEA6170}" type="TxLink">
            <a:rPr lang="en-US" sz="1100" b="0" i="0" u="none" strike="noStrike">
              <a:solidFill>
                <a:srgbClr val="9A0000"/>
              </a:solidFill>
              <a:latin typeface="Segoe UI" panose="020B0502040204020203" pitchFamily="34" charset="0"/>
              <a:ea typeface="Calibri"/>
              <a:cs typeface="Segoe UI" panose="020B0502040204020203" pitchFamily="34" charset="0"/>
            </a:rPr>
            <a:pPr/>
            <a:t>▲ +0.1%</a:t>
          </a:fld>
          <a:endParaRPr lang="en-US" sz="1100">
            <a:solidFill>
              <a:srgbClr val="9A0000"/>
            </a:solidFill>
            <a:latin typeface="Segoe UI" panose="020B0502040204020203" pitchFamily="34" charset="0"/>
            <a:cs typeface="Segoe UI" panose="020B0502040204020203" pitchFamily="34" charset="0"/>
          </a:endParaRPr>
        </a:p>
      </xdr:txBody>
    </xdr:sp>
    <xdr:clientData/>
  </xdr:twoCellAnchor>
  <xdr:twoCellAnchor>
    <xdr:from>
      <xdr:col>6</xdr:col>
      <xdr:colOff>38099</xdr:colOff>
      <xdr:row>14</xdr:row>
      <xdr:rowOff>161924</xdr:rowOff>
    </xdr:from>
    <xdr:to>
      <xdr:col>8</xdr:col>
      <xdr:colOff>219075</xdr:colOff>
      <xdr:row>16</xdr:row>
      <xdr:rowOff>47625</xdr:rowOff>
    </xdr:to>
    <xdr:sp macro="" textlink="">
      <xdr:nvSpPr>
        <xdr:cNvPr id="62" name="TextBox 61">
          <a:extLst>
            <a:ext uri="{FF2B5EF4-FFF2-40B4-BE49-F238E27FC236}">
              <a16:creationId xmlns:a16="http://schemas.microsoft.com/office/drawing/2014/main" id="{7685658A-B2B4-4C2D-91C5-AE48E5C1C8CA}"/>
            </a:ext>
          </a:extLst>
        </xdr:cNvPr>
        <xdr:cNvSpPr txBox="1"/>
      </xdr:nvSpPr>
      <xdr:spPr>
        <a:xfrm>
          <a:off x="4038599" y="2828924"/>
          <a:ext cx="1400176" cy="2667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cap="all" baseline="0">
              <a:solidFill>
                <a:schemeClr val="tx1">
                  <a:lumMod val="65000"/>
                  <a:lumOff val="35000"/>
                </a:schemeClr>
              </a:solidFill>
              <a:latin typeface="Segoe UI" panose="020B0502040204020203" pitchFamily="34" charset="0"/>
              <a:cs typeface="Segoe UI" panose="020B0502040204020203" pitchFamily="34" charset="0"/>
            </a:rPr>
            <a:t>vs. LAST MONTH</a:t>
          </a:r>
        </a:p>
        <a:p>
          <a:endParaRPr lang="en-US" sz="900">
            <a:latin typeface="Segoe UI" panose="020B0502040204020203" pitchFamily="34" charset="0"/>
            <a:cs typeface="Segoe UI" panose="020B0502040204020203" pitchFamily="34" charset="0"/>
          </a:endParaRPr>
        </a:p>
      </xdr:txBody>
    </xdr:sp>
    <xdr:clientData/>
  </xdr:twoCellAnchor>
  <xdr:twoCellAnchor>
    <xdr:from>
      <xdr:col>9</xdr:col>
      <xdr:colOff>523874</xdr:colOff>
      <xdr:row>14</xdr:row>
      <xdr:rowOff>133349</xdr:rowOff>
    </xdr:from>
    <xdr:to>
      <xdr:col>11</xdr:col>
      <xdr:colOff>66674</xdr:colOff>
      <xdr:row>16</xdr:row>
      <xdr:rowOff>104774</xdr:rowOff>
    </xdr:to>
    <xdr:sp macro="" textlink="Calculations!E61">
      <xdr:nvSpPr>
        <xdr:cNvPr id="63" name="TextBox 62">
          <a:extLst>
            <a:ext uri="{FF2B5EF4-FFF2-40B4-BE49-F238E27FC236}">
              <a16:creationId xmlns:a16="http://schemas.microsoft.com/office/drawing/2014/main" id="{9DCF9080-1A9C-41D2-97D8-91CBDD350239}"/>
            </a:ext>
          </a:extLst>
        </xdr:cNvPr>
        <xdr:cNvSpPr txBox="1"/>
      </xdr:nvSpPr>
      <xdr:spPr>
        <a:xfrm>
          <a:off x="6353174" y="2800349"/>
          <a:ext cx="762000" cy="3524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607259B0-7CC1-47EE-BC4B-247E7964F628}" type="TxLink">
            <a:rPr lang="en-US" sz="1100" b="0" i="0" u="none" strike="noStrike">
              <a:solidFill>
                <a:schemeClr val="accent6">
                  <a:lumMod val="75000"/>
                </a:schemeClr>
              </a:solidFill>
              <a:latin typeface="Segoe UI" panose="020B0502040204020203" pitchFamily="34" charset="0"/>
              <a:ea typeface="Calibri"/>
              <a:cs typeface="Segoe UI" panose="020B0502040204020203" pitchFamily="34" charset="0"/>
            </a:rPr>
            <a:pPr/>
            <a:t>▼ -5.5%</a:t>
          </a:fld>
          <a:endParaRPr lang="en-US" sz="1100">
            <a:solidFill>
              <a:schemeClr val="accent6">
                <a:lumMod val="75000"/>
              </a:schemeClr>
            </a:solidFill>
            <a:latin typeface="Segoe UI" panose="020B0502040204020203" pitchFamily="34" charset="0"/>
            <a:cs typeface="Segoe UI" panose="020B0502040204020203" pitchFamily="34" charset="0"/>
          </a:endParaRPr>
        </a:p>
      </xdr:txBody>
    </xdr:sp>
    <xdr:clientData/>
  </xdr:twoCellAnchor>
  <xdr:twoCellAnchor>
    <xdr:from>
      <xdr:col>10</xdr:col>
      <xdr:colOff>523873</xdr:colOff>
      <xdr:row>14</xdr:row>
      <xdr:rowOff>161924</xdr:rowOff>
    </xdr:from>
    <xdr:to>
      <xdr:col>13</xdr:col>
      <xdr:colOff>28574</xdr:colOff>
      <xdr:row>16</xdr:row>
      <xdr:rowOff>76200</xdr:rowOff>
    </xdr:to>
    <xdr:sp macro="" textlink="">
      <xdr:nvSpPr>
        <xdr:cNvPr id="64" name="TextBox 63">
          <a:extLst>
            <a:ext uri="{FF2B5EF4-FFF2-40B4-BE49-F238E27FC236}">
              <a16:creationId xmlns:a16="http://schemas.microsoft.com/office/drawing/2014/main" id="{FE2339EE-F00A-472F-B870-086C326555DE}"/>
            </a:ext>
          </a:extLst>
        </xdr:cNvPr>
        <xdr:cNvSpPr txBox="1"/>
      </xdr:nvSpPr>
      <xdr:spPr>
        <a:xfrm>
          <a:off x="6962773" y="2828924"/>
          <a:ext cx="1333501" cy="2952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cap="all" baseline="0">
              <a:solidFill>
                <a:schemeClr val="tx1">
                  <a:lumMod val="65000"/>
                  <a:lumOff val="35000"/>
                </a:schemeClr>
              </a:solidFill>
              <a:latin typeface="Segoe UI" panose="020B0502040204020203" pitchFamily="34" charset="0"/>
              <a:cs typeface="Segoe UI" panose="020B0502040204020203" pitchFamily="34" charset="0"/>
            </a:rPr>
            <a:t>vs. LAST MONTH</a:t>
          </a:r>
        </a:p>
        <a:p>
          <a:endParaRPr lang="en-US" sz="900">
            <a:latin typeface="Segoe UI" panose="020B0502040204020203" pitchFamily="34" charset="0"/>
            <a:cs typeface="Segoe UI" panose="020B0502040204020203" pitchFamily="34" charset="0"/>
          </a:endParaRPr>
        </a:p>
      </xdr:txBody>
    </xdr:sp>
    <xdr:clientData/>
  </xdr:twoCellAnchor>
  <xdr:twoCellAnchor editAs="oneCell">
    <xdr:from>
      <xdr:col>0</xdr:col>
      <xdr:colOff>1</xdr:colOff>
      <xdr:row>0</xdr:row>
      <xdr:rowOff>0</xdr:rowOff>
    </xdr:from>
    <xdr:to>
      <xdr:col>0</xdr:col>
      <xdr:colOff>702946</xdr:colOff>
      <xdr:row>1</xdr:row>
      <xdr:rowOff>152400</xdr:rowOff>
    </xdr:to>
    <xdr:pic>
      <xdr:nvPicPr>
        <xdr:cNvPr id="67" name="Picture 66" descr="Fakery Logo - Fake Company Logo Transparent - Free Transparent PNG Clipart  Images Download">
          <a:extLst>
            <a:ext uri="{FF2B5EF4-FFF2-40B4-BE49-F238E27FC236}">
              <a16:creationId xmlns:a16="http://schemas.microsoft.com/office/drawing/2014/main" id="{78F732BE-C611-4989-959C-D671C2899402}"/>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1" y="0"/>
          <a:ext cx="702945" cy="342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ISTInventory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ST Data"/>
      <sheetName val="Calculations"/>
      <sheetName val="Dashboard"/>
    </sheetNames>
    <definedNames>
      <definedName name="ClearAllFilters"/>
    </definedNames>
    <sheetDataSet>
      <sheetData sheetId="0"/>
      <sheetData sheetId="1"/>
      <sheetData sheetId="2"/>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T Administrator" refreshedDate="46246.620599768517" createdVersion="6" refreshedVersion="6" minRefreshableVersion="3" recordCount="84" xr:uid="{50900983-0ECE-4040-B24C-6673D6472394}">
  <cacheSource type="worksheet">
    <worksheetSource ref="A2:J86" sheet="Data"/>
  </cacheSource>
  <cacheFields count="14">
    <cacheField name="Month End" numFmtId="0">
      <sharedItems containsSemiMixedTypes="0" containsNonDate="0" containsDate="1" containsString="0" minDate="2019-09-30T00:00:00" maxDate="2026-09-01T00:00:00" count="84">
        <d v="2019-09-30T00:00:00"/>
        <d v="2019-10-31T00:00:00"/>
        <d v="2019-11-30T00:00:00"/>
        <d v="2019-12-31T00:00:00"/>
        <d v="2020-01-31T00:00:00"/>
        <d v="2020-02-29T00:00:00"/>
        <d v="2020-03-31T00:00:00"/>
        <d v="2020-04-30T00:00:00"/>
        <d v="2020-05-31T00:00:00"/>
        <d v="2020-06-30T00:00:00"/>
        <d v="2020-07-31T00:00:00"/>
        <d v="2020-08-31T00:00:00"/>
        <d v="2020-09-30T00:00:00"/>
        <d v="2020-10-31T00:00:00"/>
        <d v="2020-11-30T00:00:00"/>
        <d v="2020-12-31T00:00:00"/>
        <d v="2021-01-31T00:00:00"/>
        <d v="2021-02-28T00:00:00"/>
        <d v="2021-03-31T00:00:00"/>
        <d v="2021-04-30T00:00:00"/>
        <d v="2021-05-31T00:00:00"/>
        <d v="2021-06-30T00:00:00"/>
        <d v="2021-07-30T00:00:00"/>
        <d v="2021-08-31T00:00:00"/>
        <d v="2021-09-30T00:00:00"/>
        <d v="2021-10-30T00:00:00"/>
        <d v="2021-11-30T00:00:00"/>
        <d v="2021-12-31T00:00:00"/>
        <d v="2022-01-31T00:00:00"/>
        <d v="2022-02-28T00:00:00"/>
        <d v="2022-03-31T00:00:00"/>
        <d v="2022-04-30T00:00:00"/>
        <d v="2022-05-31T00:00:00"/>
        <d v="2022-06-30T00:00:00"/>
        <d v="2022-07-31T00:00:00"/>
        <d v="2022-08-31T00:00:00"/>
        <d v="2022-09-30T00:00:00"/>
        <d v="2022-10-31T00:00:00"/>
        <d v="2022-11-30T00:00:00"/>
        <d v="2022-12-31T00:00:00"/>
        <d v="2023-01-31T00:00:00"/>
        <d v="2023-02-28T00:00:00"/>
        <d v="2023-03-31T00:00:00"/>
        <d v="2023-04-30T00:00:00"/>
        <d v="2023-05-31T00:00:00"/>
        <d v="2023-06-30T00:00:00"/>
        <d v="2023-07-31T00:00:00"/>
        <d v="2023-08-31T00:00:00"/>
        <d v="2023-09-30T00:00:00"/>
        <d v="2023-10-31T00:00:00"/>
        <d v="2023-11-30T00:00:00"/>
        <d v="2023-12-31T00:00:00"/>
        <d v="2024-01-31T00:00:00"/>
        <d v="2024-02-29T00:00:00"/>
        <d v="2024-03-31T00:00:00"/>
        <d v="2024-04-30T00:00:00"/>
        <d v="2024-05-31T00:00:00"/>
        <d v="2024-06-30T00:00:00"/>
        <d v="2024-07-31T00:00:00"/>
        <d v="2024-08-31T00:00:00"/>
        <d v="2024-09-30T00:00:00"/>
        <d v="2024-10-31T00:00:00"/>
        <d v="2024-11-30T00:00:00"/>
        <d v="2024-12-31T00:00:00"/>
        <d v="2025-01-31T00:00:00"/>
        <d v="2025-02-28T00:00:00"/>
        <d v="2025-03-31T00:00:00"/>
        <d v="2025-04-30T00:00:00"/>
        <d v="2025-05-31T00:00:00"/>
        <d v="2025-06-30T00:00:00"/>
        <d v="2025-07-31T00:00:00"/>
        <d v="2025-08-31T00:00:00"/>
        <d v="2025-09-30T00:00:00"/>
        <d v="2025-10-31T00:00:00"/>
        <d v="2025-11-30T00:00:00"/>
        <d v="2025-12-31T00:00:00"/>
        <d v="2026-01-31T00:00:00"/>
        <d v="2026-02-28T00:00:00"/>
        <d v="2026-03-31T00:00:00"/>
        <d v="2026-04-30T00:00:00"/>
        <d v="2026-05-31T00:00:00"/>
        <d v="2026-06-30T00:00:00"/>
        <d v="2026-07-31T00:00:00"/>
        <d v="2026-08-31T00:00:00"/>
      </sharedItems>
      <fieldGroup par="11" base="0">
        <rangePr groupBy="months" startDate="2019-09-30T00:00:00" endDate="2026-09-01T00:00:00"/>
        <groupItems count="14">
          <s v="&lt;9/30/2019"/>
          <s v="Jan"/>
          <s v="Feb"/>
          <s v="Mar"/>
          <s v="Apr"/>
          <s v="May"/>
          <s v="Jun"/>
          <s v="Jul"/>
          <s v="Aug"/>
          <s v="Sep"/>
          <s v="Oct"/>
          <s v="Nov"/>
          <s v="Dec"/>
          <s v="&gt;9/1/2026"/>
        </groupItems>
      </fieldGroup>
    </cacheField>
    <cacheField name="month-year" numFmtId="0">
      <sharedItems/>
    </cacheField>
    <cacheField name="Enterprise FG" numFmtId="44">
      <sharedItems containsString="0" containsBlank="1" containsNumber="1" minValue="1159144.7135000001" maxValue="2562113.0243873643"/>
    </cacheField>
    <cacheField name="Cemetery FG" numFmtId="44">
      <sharedItems containsString="0" containsBlank="1" containsNumber="1" minValue="1324039.5822950001" maxValue="2851456.4503297601"/>
    </cacheField>
    <cacheField name="Cemetery WP" numFmtId="44">
      <sharedItems containsString="0" containsBlank="1" containsNumber="1" minValue="355355.42832000001" maxValue="758235.81645000004"/>
    </cacheField>
    <cacheField name="Cemetery PL" numFmtId="44">
      <sharedItems containsString="0" containsBlank="1" containsNumber="1" minValue="424162.5024" maxValue="1263880.667823747"/>
    </cacheField>
    <cacheField name="Total " numFmtId="44">
      <sharedItems containsSemiMixedTypes="0" containsString="0" containsNumber="1" minValue="0" maxValue="7445314.1760379206"/>
    </cacheField>
    <cacheField name="% diff" numFmtId="167">
      <sharedItems containsString="0" containsBlank="1" containsNumber="1" minValue="-1" maxValue="0.35834537652075671"/>
    </cacheField>
    <cacheField name="Enterprise FG (Non-Commit)" numFmtId="0">
      <sharedItems containsString="0" containsBlank="1" containsNumber="1" minValue="0" maxValue="2240587.4850595645"/>
    </cacheField>
    <cacheField name="Cemetery FG (Non-Commit)" numFmtId="0">
      <sharedItems containsString="0" containsBlank="1" containsNumber="1" minValue="870725.62144996854" maxValue="1876424.82930033"/>
    </cacheField>
    <cacheField name="Quarters" numFmtId="0" databaseField="0">
      <fieldGroup base="0">
        <rangePr groupBy="quarters" startDate="2019-09-30T00:00:00" endDate="2026-09-01T00:00:00"/>
        <groupItems count="6">
          <s v="&lt;9/30/2019"/>
          <s v="Qtr1"/>
          <s v="Qtr2"/>
          <s v="Qtr3"/>
          <s v="Qtr4"/>
          <s v="&gt;9/1/2026"/>
        </groupItems>
      </fieldGroup>
    </cacheField>
    <cacheField name="Years" numFmtId="0" databaseField="0">
      <fieldGroup base="0">
        <rangePr groupBy="years" startDate="2019-09-30T00:00:00" endDate="2026-09-01T00:00:00"/>
        <groupItems count="10">
          <s v="&lt;9/30/2019"/>
          <s v="2019"/>
          <s v="2020"/>
          <s v="2021"/>
          <s v="2022"/>
          <s v="2023"/>
          <s v="2024"/>
          <s v="2025"/>
          <s v="2026"/>
          <s v="&gt;9/1/2026"/>
        </groupItems>
      </fieldGroup>
    </cacheField>
    <cacheField name="Field1" numFmtId="0" formula="'Enterprise FG (Non-Commit)'+'Cemetery FG (Non-Commit)'" databaseField="0"/>
    <cacheField name="%total" numFmtId="0" formula="Field1/'Total '" databaseField="0"/>
  </cacheFields>
  <extLst>
    <ext xmlns:x14="http://schemas.microsoft.com/office/spreadsheetml/2009/9/main" uri="{725AE2AE-9491-48be-B2B4-4EB974FC3084}">
      <x14:pivotCacheDefinition pivotCacheId="160327371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4">
  <r>
    <x v="0"/>
    <s v="2019-09"/>
    <n v="1260893.6445000002"/>
    <n v="1357165.5614999998"/>
    <n v="456322.56599999999"/>
    <n v="542093.076"/>
    <n v="3797298.5904000006"/>
    <m/>
    <m/>
    <m/>
  </r>
  <r>
    <x v="1"/>
    <s v="2019-10"/>
    <n v="1260883.9555200001"/>
    <n v="1410433.5671999999"/>
    <n v="361398.47184000001"/>
    <n v="509282.99855999998"/>
    <n v="3570334.9850649596"/>
    <n v="-5.9769754716900735E-2"/>
    <m/>
    <m/>
  </r>
  <r>
    <x v="2"/>
    <s v="2019-11"/>
    <n v="1271351.3954960001"/>
    <n v="1437582.5145760002"/>
    <n v="437108.89092000003"/>
    <n v="543080.92872800003"/>
    <n v="3951789.3392760642"/>
    <n v="0.10683993401368871"/>
    <m/>
    <m/>
  </r>
  <r>
    <x v="3"/>
    <s v="2019-12"/>
    <n v="1236693.8217849999"/>
    <n v="1324039.5822950001"/>
    <n v="389304.44041000004"/>
    <n v="501100.16073"/>
    <n v="3311366.9160085903"/>
    <n v="-0.16205884683741623"/>
    <m/>
    <m/>
  </r>
  <r>
    <x v="4"/>
    <s v="2020-01"/>
    <n v="1196561.9299199998"/>
    <n v="1352543.6246399998"/>
    <n v="355355.42832000001"/>
    <n v="457138.61375999992"/>
    <n v="3065778.8321356797"/>
    <n v="-7.4165168071720106E-2"/>
    <m/>
    <m/>
  </r>
  <r>
    <x v="5"/>
    <s v="2020-02"/>
    <n v="1256912.0760239998"/>
    <n v="1503099.2560320001"/>
    <n v="404797.59698400006"/>
    <n v="568504.62603000004"/>
    <n v="3769900.0279096859"/>
    <n v="0.22967123015964658"/>
    <m/>
    <m/>
  </r>
  <r>
    <x v="6"/>
    <s v="2020-03"/>
    <n v="1159144.7135000001"/>
    <n v="1450591.0201999999"/>
    <n v="450544.68819999998"/>
    <n v="568967.54559999995"/>
    <n v="3520370.5284749991"/>
    <n v="-6.618995134813814E-2"/>
    <m/>
    <m/>
  </r>
  <r>
    <x v="7"/>
    <s v="2020-04"/>
    <n v="1322118.559377"/>
    <n v="1573939.2863699999"/>
    <n v="422107.82588699996"/>
    <n v="531555.11828100006"/>
    <n v="3696886.8745553745"/>
    <n v="5.0141411153342731E-2"/>
    <m/>
    <m/>
  </r>
  <r>
    <x v="8"/>
    <s v="2020-05"/>
    <n v="1472037.71181"/>
    <n v="1671268.7481280002"/>
    <n v="468269.88529800001"/>
    <n v="617389.46255599998"/>
    <n v="4399393.1298460178"/>
    <n v="0.19002644092947366"/>
    <m/>
    <m/>
  </r>
  <r>
    <x v="9"/>
    <s v="2020-06"/>
    <n v="1429560.1628"/>
    <n v="1618439.8258"/>
    <n v="431115.63179999997"/>
    <n v="543710.53659999999"/>
    <n v="3942369.6338599995"/>
    <n v="-0.10388330446886307"/>
    <m/>
    <m/>
  </r>
  <r>
    <x v="10"/>
    <s v="2020-07"/>
    <n v="1407415.4716719999"/>
    <n v="1572940.2387999999"/>
    <n v="405642.03511999996"/>
    <n v="532470.38465599995"/>
    <n v="3763296.7922901791"/>
    <n v="-4.5422641254084802E-2"/>
    <m/>
    <m/>
  </r>
  <r>
    <x v="11"/>
    <s v="2020-08"/>
    <n v="1325556.7903369998"/>
    <n v="1609591.6458759999"/>
    <n v="417739.55882999999"/>
    <n v="553015.59334799997"/>
    <n v="3675064.6863170913"/>
    <n v="-2.3445428527945969E-2"/>
    <m/>
    <m/>
  </r>
  <r>
    <x v="12"/>
    <s v="2020-09"/>
    <n v="1404133.26768"/>
    <n v="1672052.22756"/>
    <n v="576888.27768000006"/>
    <n v="596641.33900799998"/>
    <n v="4375506.6792410696"/>
    <n v="0.19059310589330478"/>
    <m/>
    <m/>
  </r>
  <r>
    <x v="13"/>
    <s v="2020-10"/>
    <n v="1263395.9944319997"/>
    <n v="1686336.5519039999"/>
    <n v="514024.34515199997"/>
    <n v="529484.88864000002"/>
    <n v="3871847.2300121086"/>
    <n v="-0.11510882879427363"/>
    <m/>
    <m/>
  </r>
  <r>
    <x v="14"/>
    <s v="2020-11"/>
    <n v="1324210.3257599999"/>
    <n v="1750028.6764800001"/>
    <n v="570604.14431999996"/>
    <n v="541815.27120000008"/>
    <n v="4220151.6851020809"/>
    <n v="8.9958212294673379E-2"/>
    <m/>
    <m/>
  </r>
  <r>
    <x v="15"/>
    <s v="2020-12"/>
    <n v="1339051.77672"/>
    <n v="1640523.3295499999"/>
    <n v="661921.2593700001"/>
    <n v="555406.83513000002"/>
    <n v="4318613.3935923297"/>
    <n v="2.3331319781191014E-2"/>
    <m/>
    <m/>
  </r>
  <r>
    <x v="16"/>
    <s v="2021-01"/>
    <n v="1302547.1923380001"/>
    <n v="1630514.4451960002"/>
    <n v="569200.57924800005"/>
    <n v="576886.35272800003"/>
    <n v="4117492.5660633943"/>
    <n v="-4.6570695081746619E-2"/>
    <m/>
    <m/>
  </r>
  <r>
    <x v="17"/>
    <s v="2021-02"/>
    <n v="1351111.7600860316"/>
    <n v="1559925.6279858688"/>
    <n v="546467.18233595183"/>
    <n v="558543.92078862712"/>
    <n v="4048176.8791260505"/>
    <n v="-1.6834441307471346E-2"/>
    <m/>
    <m/>
  </r>
  <r>
    <x v="18"/>
    <s v="2021-03"/>
    <n v="1359496.2417784892"/>
    <n v="1633530.5425546656"/>
    <n v="547443.01659012306"/>
    <n v="576034.31366045261"/>
    <n v="4156845.8549066507"/>
    <n v="2.6843929755376809E-2"/>
    <m/>
    <m/>
  </r>
  <r>
    <x v="19"/>
    <s v="2021-04"/>
    <n v="1502973.8935847986"/>
    <n v="1813721.6435310002"/>
    <n v="603179.10585952678"/>
    <n v="642615.95244448667"/>
    <n v="4886427.4276946187"/>
    <n v="0.17551326131730041"/>
    <m/>
    <m/>
  </r>
  <r>
    <x v="20"/>
    <s v="2021-05"/>
    <n v="1345964.2064549979"/>
    <n v="1757130.7186619991"/>
    <n v="548337.98656976142"/>
    <n v="607557.94989570463"/>
    <n v="4216400.9529666388"/>
    <n v="-0.13711990705735161"/>
    <m/>
    <m/>
  </r>
  <r>
    <x v="21"/>
    <s v="2021-06"/>
    <n v="1437757.6565236459"/>
    <n v="1927391.322294899"/>
    <n v="592543.18530878983"/>
    <n v="723471.93315286317"/>
    <n v="4866070.079122765"/>
    <n v="0.15408143898151389"/>
    <m/>
    <m/>
  </r>
  <r>
    <x v="22"/>
    <s v="2021-07"/>
    <n v="1394075.7505380001"/>
    <n v="1650221.5462200001"/>
    <n v="688476.30519599991"/>
    <n v="648633.04846799991"/>
    <n v="4334963.7399275266"/>
    <n v="-0.10914481924004352"/>
    <m/>
    <m/>
  </r>
  <r>
    <x v="23"/>
    <s v="2021-08"/>
    <n v="1504291.2034500001"/>
    <n v="1759125.3504300001"/>
    <n v="758235.81645000004"/>
    <n v="716848.57440000016"/>
    <n v="5074934.5118058305"/>
    <n v="0.17069826099414503"/>
    <m/>
    <m/>
  </r>
  <r>
    <x v="24"/>
    <s v="2021-09"/>
    <n v="1365201.307428"/>
    <n v="1565835.3218772281"/>
    <n v="550011.60517402308"/>
    <n v="654296.33291400014"/>
    <n v="4093164.0528058405"/>
    <n v="-0.19345480354792666"/>
    <m/>
    <m/>
  </r>
  <r>
    <x v="25"/>
    <s v="2021-10"/>
    <n v="1361631.4789869001"/>
    <n v="1495575.93814596"/>
    <n v="488838.42791799334"/>
    <n v="625263.24482713221"/>
    <n v="3813648.1190098296"/>
    <n v="-6.8288475660877632E-2"/>
    <n v="1011267.9573444371"/>
    <n v="898114.20858899981"/>
  </r>
  <r>
    <x v="26"/>
    <s v="2021-11"/>
    <n v="1480366.5228544499"/>
    <n v="1645355.2979902502"/>
    <n v="537536.55368969671"/>
    <n v="673821.82665717718"/>
    <n v="4508394.8691386422"/>
    <n v="0.18217379486736593"/>
    <n v="1006537.2614836496"/>
    <n v="897841.24082300079"/>
  </r>
  <r>
    <x v="27"/>
    <s v="2021-12"/>
    <n v="1385530.9419650899"/>
    <n v="1380077.8440479902"/>
    <n v="479753.79007378162"/>
    <n v="623512.2642655212"/>
    <n v="3640224.3372875564"/>
    <n v="-0.1925675450023204"/>
    <n v="994304.82742251514"/>
    <n v="870725.62144996854"/>
  </r>
  <r>
    <x v="28"/>
    <s v="2022-01"/>
    <n v="1663734.8930716801"/>
    <n v="1521049.0949784899"/>
    <n v="471975.59668454359"/>
    <n v="696790.26313893765"/>
    <n v="4353114.4928888641"/>
    <n v="0.19583687420004017"/>
    <n v="995644.55398428824"/>
    <n v="880110.9959138803"/>
  </r>
  <r>
    <x v="29"/>
    <s v="2022-02"/>
    <n v="1778974.1744253801"/>
    <n v="1616802.5241920904"/>
    <n v="396573.44692103763"/>
    <n v="770943.7767381795"/>
    <n v="4747194.6673444388"/>
    <n v="9.0528327499617561E-2"/>
    <n v="1153548.596602709"/>
    <n v="889504.63664044009"/>
  </r>
  <r>
    <x v="30"/>
    <s v="2022-03"/>
    <n v="1615522.2451016998"/>
    <n v="1670418.3740927998"/>
    <n v="536614.52544"/>
    <n v="745448.84144999995"/>
    <n v="4426395.8625158798"/>
    <n v="-6.7576500924916266E-2"/>
    <n v="1197545.361785152"/>
    <n v="1013786.3289959994"/>
  </r>
  <r>
    <x v="31"/>
    <s v="2022-04"/>
    <n v="1798128.8013213"/>
    <n v="1946917.6111969501"/>
    <n v="515893.07593094773"/>
    <n v="855544.51147350413"/>
    <n v="5211138.9539212706"/>
    <n v="0.177287146423311"/>
    <n v="1262491.1963787689"/>
    <n v="1096401.6465030017"/>
  </r>
  <r>
    <x v="32"/>
    <s v="2022-05"/>
    <n v="1611068.2717219198"/>
    <n v="2080700.91681408"/>
    <n v="444482.89071509661"/>
    <n v="813024.84936545137"/>
    <n v="4703792.7929571671"/>
    <n v="-9.7358018170353389E-2"/>
    <n v="1206617.2183390898"/>
    <n v="1217524.5653110028"/>
  </r>
  <r>
    <x v="33"/>
    <s v="2022-06"/>
    <n v="1990075.0715258508"/>
    <n v="2341213.8337962399"/>
    <n v="586487.59978048247"/>
    <n v="993961.20434348157"/>
    <n v="6332653.4343586145"/>
    <n v="0.34628664847658391"/>
    <n v="1315295.2893517474"/>
    <n v="1212760.480384371"/>
  </r>
  <r>
    <x v="34"/>
    <s v="2022-07"/>
    <n v="2031435.9239999999"/>
    <n v="2458966.4715"/>
    <n v="600946.66800000006"/>
    <n v="938855.77800000005"/>
    <n v="6331715.0835750001"/>
    <n v="-1.4817655716374759E-4"/>
    <n v="1400883.1894330259"/>
    <n v="1262083.82"/>
  </r>
  <r>
    <x v="35"/>
    <s v="2022-08"/>
    <n v="2168063.0899200002"/>
    <n v="2815219.3742400003"/>
    <n v="723349.36127999995"/>
    <n v="1111421.4493200001"/>
    <n v="7445314.1760379206"/>
    <n v="0.17587637437314418"/>
    <n v="1638713.1309119998"/>
    <n v="1718913.81"/>
  </r>
  <r>
    <x v="36"/>
    <s v="2022-09"/>
    <n v="2310709.5429600002"/>
    <n v="2547025.0478400001"/>
    <n v="521103.33912000002"/>
    <n v="1169597.7383999999"/>
    <n v="7150891.7498054402"/>
    <n v="-3.9544661148088654E-2"/>
    <n v="1658505.9839040001"/>
    <n v="1540224.95"/>
  </r>
  <r>
    <x v="37"/>
    <s v="2022-10"/>
    <n v="2049797.9400959997"/>
    <n v="2321095.3035840001"/>
    <n v="515884.19813664001"/>
    <n v="955539.15182222391"/>
    <n v="5608623.9298933093"/>
    <n v="-0.21567489396746814"/>
    <n v="1855279.5232597601"/>
    <n v="1632279.9267812099"/>
  </r>
  <r>
    <x v="38"/>
    <s v="2022-11"/>
    <n v="2417420.636266171"/>
    <n v="2661215.9347320599"/>
    <n v="513276.26658842957"/>
    <n v="1200338.9184976819"/>
    <n v="7205899.888029879"/>
    <n v="0.28478927774480933"/>
    <n v="1895207.0314721602"/>
    <n v="1730696.7014609999"/>
  </r>
  <r>
    <x v="39"/>
    <s v="2022-12"/>
    <n v="2355306.3093254399"/>
    <n v="2528471.6257996801"/>
    <n v="443697.64214368322"/>
    <n v="1108960.0675121865"/>
    <n v="6302557.7833695458"/>
    <n v="-0.12536145640337371"/>
    <n v="1969435.0177046901"/>
    <n v="1777246.5813002"/>
  </r>
  <r>
    <x v="40"/>
    <s v="2023-01"/>
    <n v="2442768.9938520105"/>
    <n v="2631917.7446880001"/>
    <n v="573239.17659653397"/>
    <n v="1263880.667823747"/>
    <n v="7050042.7146194968"/>
    <n v="0.11860025039712084"/>
    <n v="1963655.2162065909"/>
    <n v="1740517.55074392"/>
  </r>
  <r>
    <x v="41"/>
    <s v="2023-02"/>
    <n v="2347660.2079669205"/>
    <n v="2714573.9833390699"/>
    <n v="606994.98967930337"/>
    <n v="1195363.6423976561"/>
    <n v="6725241.5890682749"/>
    <n v="-4.6070802504173475E-2"/>
    <n v="1922557.6346350501"/>
    <n v="1792651.12073752"/>
  </r>
  <r>
    <x v="42"/>
    <s v="2023-03"/>
    <n v="2453876.6085150074"/>
    <n v="2615186.0571940001"/>
    <n v="492138.69805254799"/>
    <n v="1171539.2117649645"/>
    <n v="6530758.3582607238"/>
    <n v="-2.8918400659937508E-2"/>
    <n v="1917403.8623183998"/>
    <n v="1760042.4809000001"/>
  </r>
  <r>
    <x v="43"/>
    <s v="2023-04"/>
    <n v="2487054.3219648101"/>
    <n v="2770887.4948943998"/>
    <n v="534681.75365236797"/>
    <n v="1134509.4517434551"/>
    <n v="6982550.0864330735"/>
    <n v="6.9179060591160996E-2"/>
    <n v="2240587.4850595645"/>
    <n v="1805200.1468"/>
  </r>
  <r>
    <x v="44"/>
    <s v="2023-05"/>
    <n v="2402327.9985742895"/>
    <n v="2695147.8263242398"/>
    <n v="458684.33502542868"/>
    <n v="1010320.3119908369"/>
    <n v="6306447.8452269686"/>
    <n v="-9.6827410163480995E-2"/>
    <n v="2021052.3842286186"/>
    <n v="1791667.0186000001"/>
  </r>
  <r>
    <x v="45"/>
    <s v="2023-06"/>
    <n v="2558811.7402556902"/>
    <n v="2851456.4503297601"/>
    <n v="644611.65002257284"/>
    <n v="1079503.5108249611"/>
    <n v="7271363.5117804985"/>
    <n v="0.15300462165620315"/>
    <n v="2013507.4061758199"/>
    <n v="1817384.6946"/>
  </r>
  <r>
    <x v="46"/>
    <s v="2023-07"/>
    <n v="2309762.9063735087"/>
    <n v="2546170.0819570497"/>
    <n v="561603.60512318637"/>
    <n v="916533.66732272622"/>
    <n v="5836845.7453055168"/>
    <n v="-0.19728318686734442"/>
    <n v="1899114.0946455093"/>
    <n v="1876424.82930033"/>
  </r>
  <r>
    <x v="47"/>
    <s v="2023-08"/>
    <n v="2349519.5892920094"/>
    <n v="2731034.0988699999"/>
    <n v="544814.99164926203"/>
    <n v="976937.60465298954"/>
    <n v="6404237.0959303323"/>
    <n v="9.7208556707389343E-2"/>
    <n v="1962918.3628807999"/>
    <n v="1840383.12660033"/>
  </r>
  <r>
    <x v="48"/>
    <s v="2023-09"/>
    <n v="2370244.1784378099"/>
    <n v="2731954.6330591203"/>
    <n v="559428.40602022922"/>
    <n v="1013314.9247435865"/>
    <n v="6672272.165403842"/>
    <n v="4.1852771135509108E-2"/>
    <n v="2084402.0865530323"/>
    <n v="1713557.93510033"/>
  </r>
  <r>
    <x v="49"/>
    <s v="2023-10"/>
    <n v="2395408.8776042988"/>
    <n v="2851066.4096124"/>
    <n v="451032.54510913428"/>
    <n v="1032720.9469644834"/>
    <n v="6925405.4138897359"/>
    <n v="3.7938087987238592E-2"/>
    <n v="1758571.5447037036"/>
    <n v="1753147.9931999999"/>
  </r>
  <r>
    <x v="50"/>
    <s v="2023-11"/>
    <n v="2334269.941140125"/>
    <n v="2615285.0711737801"/>
    <n v="527498.02715124749"/>
    <n v="1030286.2025850812"/>
    <n v="6703860.8871601513"/>
    <n v="-3.1990116605339868E-2"/>
    <n v="1924418.3815662365"/>
    <n v="1667753.4387999999"/>
  </r>
  <r>
    <x v="51"/>
    <s v="2023-12"/>
    <n v="2325630.7406335301"/>
    <n v="2537816.1143819997"/>
    <n v="604998.00952633074"/>
    <n v="973972.24102025479"/>
    <n v="6571265.4476733571"/>
    <n v="-1.9778966437199362E-2"/>
    <n v="1854341.4618667322"/>
    <n v="1636841.7346999999"/>
  </r>
  <r>
    <x v="52"/>
    <s v="2024-01"/>
    <n v="2375253.5770822018"/>
    <n v="2501002.3034860003"/>
    <n v="524359.69084885938"/>
    <n v="1007835.6683556597"/>
    <n v="6798725.9202748807"/>
    <n v="3.4614409418213199E-2"/>
    <n v="1873866.268031738"/>
    <n v="1597847.2571"/>
  </r>
  <r>
    <x v="53"/>
    <s v="2024-02"/>
    <n v="2210049.1391035169"/>
    <n v="2258449.6971286801"/>
    <n v="598442.92134280433"/>
    <n v="977038.73777463951"/>
    <n v="6103211.5042040665"/>
    <n v="-0.10230069931142242"/>
    <n v="1998273.7599771451"/>
    <n v="1539307.0024000001"/>
  </r>
  <r>
    <x v="54"/>
    <s v="2024-03"/>
    <n v="2249892.5150150103"/>
    <n v="2330574.842036"/>
    <n v="582137.52247281454"/>
    <n v="974498.88257369446"/>
    <n v="6198474.7997184945"/>
    <n v="1.5608716074939886E-2"/>
    <n v="1929883.3586298386"/>
    <n v="1551319.1096999999"/>
  </r>
  <r>
    <x v="55"/>
    <s v="2024-04"/>
    <n v="2172288.2471264987"/>
    <n v="2397524.1897881399"/>
    <n v="517223.97088885389"/>
    <n v="865857.34152729611"/>
    <n v="5889793.0755878827"/>
    <n v="-4.9799625569927418E-2"/>
    <n v="1863082.5988848847"/>
    <n v="1550912.7538999999"/>
  </r>
  <r>
    <x v="56"/>
    <s v="2024-05"/>
    <n v="2399376.7350000003"/>
    <n v="2512595.8829999999"/>
    <n v="512031.28200000006"/>
    <n v="897807.29850000003"/>
    <n v="6637901.7584250001"/>
    <n v="0.12701782103990911"/>
    <n v="1732550.4567549999"/>
    <n v="1522531.71"/>
  </r>
  <r>
    <x v="57"/>
    <s v="2024-06"/>
    <n v="2182144.9842316895"/>
    <n v="2270628.155328"/>
    <n v="536858.28784396802"/>
    <n v="750909.8428582924"/>
    <n v="5510919.6194514716"/>
    <n v="-0.1697798762301857"/>
    <n v="1992888.6828698432"/>
    <n v="1494034.8406"/>
  </r>
  <r>
    <x v="58"/>
    <s v="2024-07"/>
    <n v="2356216.7272162163"/>
    <n v="2351628.6295174402"/>
    <n v="576610.60841620574"/>
    <n v="804956.54013855348"/>
    <n v="6206329.2253899546"/>
    <n v="0.12618757919893242"/>
    <n v="1996447.7660042688"/>
    <n v="1502652.7829"/>
  </r>
  <r>
    <x v="59"/>
    <s v="2024-08"/>
    <n v="2471512.0863425517"/>
    <n v="2410557.2368956003"/>
    <n v="646787.33867062349"/>
    <n v="680378.1681715009"/>
    <n v="6522180.2655163221"/>
    <n v="5.0891763658657989E-2"/>
    <n v="2018521.9835459292"/>
    <n v="1478697.8628"/>
  </r>
  <r>
    <x v="60"/>
    <s v="2024-09"/>
    <n v="2562113.0243873643"/>
    <n v="2382505.3949360996"/>
    <n v="698676.05473522621"/>
    <n v="822201.72224525188"/>
    <n v="6856658.7161803311"/>
    <n v="5.1283226934472091E-2"/>
    <n v="1982559.763067686"/>
    <n v="1405294.08329999"/>
  </r>
  <r>
    <x v="61"/>
    <s v="2024-10"/>
    <n v="2217089.2889928785"/>
    <n v="2348583.11473076"/>
    <n v="567386.4359349272"/>
    <n v="695894.51066609868"/>
    <n v="5823707.2923093727"/>
    <n v="-0.15064938574723014"/>
    <n v="1977750.3751560026"/>
    <n v="1456710.0949035001"/>
  </r>
  <r>
    <x v="62"/>
    <s v="2024-11"/>
    <n v="2231186.0306897797"/>
    <n v="2243561.099769"/>
    <n v="575016.38663507777"/>
    <n v="721013.54828311224"/>
    <n v="5713069.2947232006"/>
    <n v="-1.8997863737464548E-2"/>
    <n v="2033228.2584992764"/>
    <n v="1453511.3685999999"/>
  </r>
  <r>
    <x v="63"/>
    <s v="2024-12"/>
    <n v="2155702.7025096193"/>
    <n v="2237372.10751"/>
    <n v="530065.1129023449"/>
    <n v="710114.85763132886"/>
    <n v="5464257.137136694"/>
    <n v="-4.3551398512935692E-2"/>
    <n v="1928578.0041939721"/>
    <n v="1456609.8214"/>
  </r>
  <r>
    <x v="64"/>
    <s v="2025-01"/>
    <n v="2287632.7659995644"/>
    <n v="2399630.7146308203"/>
    <n v="587785.8973538205"/>
    <n v="822407.07153875695"/>
    <n v="6405987.7458688244"/>
    <n v="0.17234375782425262"/>
    <n v="1766055.6215463125"/>
    <n v="1493848.5412000001"/>
  </r>
  <r>
    <x v="65"/>
    <s v="2025-02"/>
    <n v="2126345.2669482147"/>
    <n v="2283092.75810879"/>
    <n v="484508.17260237451"/>
    <n v="724843.20345538098"/>
    <n v="5501918.5815715734"/>
    <n v="-0.1411287689209644"/>
    <n v="1851613.2523503497"/>
    <n v="1538659.66493894"/>
  </r>
  <r>
    <x v="66"/>
    <s v="2025-03"/>
    <n v="1928492.6337017885"/>
    <n v="2103641.1475324701"/>
    <n v="555143.61275076855"/>
    <n v="656265.59356577962"/>
    <n v="4933649.5969865536"/>
    <n v="-0.10328560413242227"/>
    <n v="1613402.3557486716"/>
    <n v="1475191.6063000001"/>
  </r>
  <r>
    <x v="67"/>
    <s v="2025-04"/>
    <n v="2202909.7072371589"/>
    <n v="2357532.8635403998"/>
    <n v="663526.91402258794"/>
    <n v="767068.58257727011"/>
    <n v="6542213.5695761396"/>
    <n v="0.32603936314652099"/>
    <n v="1664699.0819659375"/>
    <n v="1462930.5504999999"/>
  </r>
  <r>
    <x v="68"/>
    <s v="2025-05"/>
    <n v="2020835.9081178773"/>
    <n v="2205755.7871199399"/>
    <n v="591605.76229435392"/>
    <n v="727664.46618150442"/>
    <n v="5600211.3705660691"/>
    <n v="-0.1439882983017782"/>
    <n v="1720083.6840002688"/>
    <n v="1489428.0608000001"/>
  </r>
  <r>
    <x v="69"/>
    <s v="2025-06"/>
    <n v="2022797.9431167874"/>
    <n v="2242374.8778704"/>
    <n v="687457.27128788491"/>
    <n v="741724.20213378023"/>
    <n v="5803685.896861502"/>
    <n v="3.6333365444894919E-2"/>
    <n v="1651614.6916090834"/>
    <n v="1459765.2984"/>
  </r>
  <r>
    <x v="70"/>
    <s v="2025-07"/>
    <n v="1910183.5755414439"/>
    <n v="2061608.3033364001"/>
    <n v="523622.15938951861"/>
    <n v="604664.37879373226"/>
    <n v="4748173.0062838783"/>
    <n v="-0.18186940322673567"/>
    <n v="1747432.446246115"/>
    <n v="1437953.1041999999"/>
  </r>
  <r>
    <x v="71"/>
    <s v="2025-08"/>
    <n v="1951307.0970606559"/>
    <n v="2076977.7171812803"/>
    <n v="458987.59956917603"/>
    <n v="630719.39956085093"/>
    <n v="4815518.4972016802"/>
    <n v="1.4183453473299048E-2"/>
    <n v="1968110.0315665943"/>
    <n v="1419949.6047"/>
  </r>
  <r>
    <x v="72"/>
    <s v="2025-09"/>
    <n v="2086971.5014406801"/>
    <n v="2127515.6706909998"/>
    <n v="531966.1561240172"/>
    <n v="713221.76569109794"/>
    <n v="5514271.8448862629"/>
    <n v="0.14510448835169701"/>
    <n v="1798263.1421105333"/>
    <n v="1443758.5160999999"/>
  </r>
  <r>
    <x v="73"/>
    <s v="2025-10"/>
    <n v="1982146.83116869"/>
    <n v="2009676.3756300001"/>
    <n v="514359.97650582041"/>
    <n v="687116.43277207913"/>
    <n v="5141366.6199158244"/>
    <n v="-6.7625469955068934E-2"/>
    <n v="1819929.8175492093"/>
    <n v="1401440.8048"/>
  </r>
  <r>
    <x v="74"/>
    <s v="2025-11"/>
    <n v="1939256.0518875937"/>
    <n v="1971861.33667392"/>
    <n v="637877.52604585036"/>
    <n v="686784.94330282975"/>
    <n v="5126875.6368656615"/>
    <n v="-2.8185080196440363E-3"/>
    <n v="1835082.99624"/>
    <n v="1387565.9586"/>
  </r>
  <r>
    <x v="75"/>
    <s v="2025-12"/>
    <n v="2100660.3201373233"/>
    <n v="2071552.5045925607"/>
    <n v="680394.6545823036"/>
    <n v="793254.40753065597"/>
    <n v="5987436.5309968367"/>
    <n v="0.16785289035356493"/>
    <n v="1759707.3000720399"/>
    <n v="1385743.4210999999"/>
  </r>
  <r>
    <x v="76"/>
    <s v="2026-01"/>
    <n v="1950605.2897464579"/>
    <n v="1787840.9529294099"/>
    <n v="641186.8404886988"/>
    <n v="809337.85584229848"/>
    <n v="5133967.8470533928"/>
    <n v="-0.14254325361530831"/>
    <n v="1814442.3438248341"/>
    <n v="1379076.2224999999"/>
  </r>
  <r>
    <x v="77"/>
    <s v="2026-02"/>
    <n v="1915435.1035714846"/>
    <n v="1835430.8348851295"/>
    <n v="676426.97910147882"/>
    <n v="746809.07921287138"/>
    <n v="4917466.5377311241"/>
    <n v="-4.2170367203707405E-2"/>
    <n v="1839650.6849458504"/>
    <n v="1380338.3163000001"/>
  </r>
  <r>
    <x v="78"/>
    <s v="2026-03"/>
    <n v="2089341.0207009958"/>
    <n v="2141411.9413926303"/>
    <n v="593229.16751211311"/>
    <n v="791524.79454773257"/>
    <n v="5728378.613328957"/>
    <n v="0.16490444202839064"/>
    <n v="1894466.1990488211"/>
    <n v="1399818.3811000001"/>
  </r>
  <r>
    <x v="79"/>
    <s v="2026-04"/>
    <n v="2146735.7206488857"/>
    <n v="2192983.1452342602"/>
    <n v="567301.53135882679"/>
    <n v="775017.16894402227"/>
    <n v="5911023.6801032908"/>
    <n v="3.1884251915428569E-2"/>
    <n v="1856000.8516068703"/>
    <n v="1420277.0305999999"/>
  </r>
  <r>
    <x v="80"/>
    <s v="2026-05"/>
    <n v="1943751.9371498013"/>
    <n v="2005142.854848"/>
    <n v="461762.6261992667"/>
    <n v="424162.5024"/>
    <n v="4548598.5812977208"/>
    <n v="-0.23048885819753012"/>
    <n v="1837468.4605091095"/>
    <n v="1425532.4576000001"/>
  </r>
  <r>
    <x v="81"/>
    <s v="2026-06"/>
    <n v="2231201.2355620959"/>
    <n v="2188985.2013003104"/>
    <n v="597360.61225021875"/>
    <n v="806345.7330106966"/>
    <n v="6178567.8525546324"/>
    <n v="0.35834537652075671"/>
    <n v="1806138.6369082096"/>
    <n v="1437666.1651999999"/>
  </r>
  <r>
    <x v="82"/>
    <s v="2026-07"/>
    <n v="2256596.2131131687"/>
    <n v="2285507.7621264001"/>
    <n v="702053.19401651144"/>
    <n v="803016.14718630014"/>
    <n v="6540017.9417324355"/>
    <n v="5.8500626326917417E-2"/>
    <n v="1805414.6038543391"/>
    <n v="1440360.7609000001"/>
  </r>
  <r>
    <x v="83"/>
    <s v="2026-08"/>
    <m/>
    <m/>
    <m/>
    <m/>
    <n v="0"/>
    <n v="-1"/>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738181-8267-4BD9-97A5-6C476E437574}" name="PivotTable4"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2">
  <location ref="S5:V6" firstHeaderRow="0" firstDataRow="1" firstDataCol="0" rowPageCount="3" colPageCount="1"/>
  <pivotFields count="14">
    <pivotField axis="axisPage" multipleItemSelectionAllowed="1" showAll="0">
      <items count="15">
        <item x="0"/>
        <item x="1"/>
        <item x="2"/>
        <item x="3"/>
        <item x="4"/>
        <item x="5"/>
        <item x="6"/>
        <item x="7"/>
        <item x="8"/>
        <item x="9"/>
        <item x="10"/>
        <item x="11"/>
        <item x="12"/>
        <item x="13"/>
        <item t="default"/>
      </items>
    </pivotField>
    <pivotField showAll="0"/>
    <pivotField dataField="1" showAll="0"/>
    <pivotField dataField="1" showAll="0"/>
    <pivotField dataField="1" showAll="0"/>
    <pivotField dataField="1" showAll="0"/>
    <pivotField numFmtId="44" showAll="0"/>
    <pivotField showAll="0"/>
    <pivotField showAll="0"/>
    <pivotField showAll="0"/>
    <pivotField axis="axisPage" multipleItemSelectionAllowed="1" showAll="0" defaultSubtotal="0">
      <items count="6">
        <item h="1" sd="0" x="0"/>
        <item h="1" sd="0" x="1"/>
        <item h="1" sd="0" x="2"/>
        <item x="3"/>
        <item h="1" sd="0" x="4"/>
        <item h="1" sd="0" x="5"/>
      </items>
    </pivotField>
    <pivotField axis="axisPage" multipleItemSelectionAllowed="1" showAll="0" defaultSubtotal="0">
      <items count="10">
        <item h="1" sd="0" x="0"/>
        <item h="1" sd="0" x="1"/>
        <item h="1" sd="0" x="2"/>
        <item h="1" sd="0" x="3"/>
        <item h="1" sd="0" x="4"/>
        <item h="1" sd="0" x="5"/>
        <item h="1" sd="0" x="6"/>
        <item h="1" sd="0" x="7"/>
        <item x="8"/>
        <item h="1" sd="0" x="9"/>
      </items>
    </pivotField>
    <pivotField dragToRow="0" dragToCol="0" dragToPage="0" showAll="0" defaultSubtotal="0"/>
    <pivotField dragToRow="0" dragToCol="0" dragToPage="0" showAll="0" defaultSubtotal="0"/>
  </pivotFields>
  <rowItems count="1">
    <i/>
  </rowItems>
  <colFields count="1">
    <field x="-2"/>
  </colFields>
  <colItems count="4">
    <i>
      <x/>
    </i>
    <i i="1">
      <x v="1"/>
    </i>
    <i i="2">
      <x v="2"/>
    </i>
    <i i="3">
      <x v="3"/>
    </i>
  </colItems>
  <pageFields count="3">
    <pageField fld="0" hier="-1"/>
    <pageField fld="10" hier="-1"/>
    <pageField fld="11" hier="-1"/>
  </pageFields>
  <dataFields count="4">
    <dataField name="Sum of Enterprise FG" fld="2" baseField="0" baseItem="0"/>
    <dataField name="Sum of Cemetery FG" fld="3" baseField="0" baseItem="0"/>
    <dataField name="Sum of Cemetery WP" fld="4" baseField="0" baseItem="0"/>
    <dataField name="Sum of Cemetery PL" fld="5" baseField="0" baseItem="0"/>
  </dataFields>
  <formats count="1">
    <format dxfId="4">
      <pivotArea collapsedLevelsAreSubtotals="1" fieldPosition="0">
        <references count="3">
          <reference field="0" count="0"/>
          <reference field="10" count="0" selected="0"/>
          <reference field="11" count="0" selected="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C0A3D10-2526-4CA7-B4B5-66C5BA84D728}" name="PivotTable5"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43:G44" firstHeaderRow="0" firstDataRow="1" firstDataCol="0"/>
  <pivotFields count="14">
    <pivotField showAll="0">
      <items count="15">
        <item x="0"/>
        <item x="1"/>
        <item x="2"/>
        <item x="3"/>
        <item x="4"/>
        <item x="5"/>
        <item x="6"/>
        <item x="7"/>
        <item x="8"/>
        <item x="9"/>
        <item x="10"/>
        <item x="11"/>
        <item x="12"/>
        <item x="13"/>
        <item t="default"/>
      </items>
    </pivotField>
    <pivotField showAll="0"/>
    <pivotField showAll="0"/>
    <pivotField showAll="0"/>
    <pivotField dataField="1" showAll="0"/>
    <pivotField showAll="0"/>
    <pivotField dataField="1" numFmtId="44" showAll="0"/>
    <pivotField showAll="0"/>
    <pivotField dataField="1" showAll="0"/>
    <pivotField dataField="1" showAll="0"/>
    <pivotField showAll="0" defaultSubtotal="0"/>
    <pivotField showAll="0" defaultSubtotal="0"/>
    <pivotField dragToRow="0" dragToCol="0" dragToPage="0" showAll="0" defaultSubtotal="0"/>
    <pivotField dragToRow="0" dragToCol="0" dragToPage="0" showAll="0" defaultSubtotal="0"/>
  </pivotFields>
  <rowItems count="1">
    <i/>
  </rowItems>
  <colFields count="1">
    <field x="-2"/>
  </colFields>
  <colItems count="4">
    <i>
      <x/>
    </i>
    <i i="1">
      <x v="1"/>
    </i>
    <i i="2">
      <x v="2"/>
    </i>
    <i i="3">
      <x v="3"/>
    </i>
  </colItems>
  <dataFields count="4">
    <dataField name="Sum of Total " fld="6" baseField="0" baseItem="0"/>
    <dataField name="FG (Non-Commit)" fld="9" baseField="0" baseItem="1"/>
    <dataField name=" FG (Non-Commit)" fld="8" baseField="0" baseItem="2"/>
    <dataField name="WP" fld="4" baseField="0" baseItem="3"/>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2B29E4F-10FE-4ADD-874D-37852FF3FC57}" name="PivotTable22" cacheId="47"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16">
  <location ref="B3:D11" firstHeaderRow="0" firstDataRow="1" firstDataCol="1"/>
  <pivotFields count="14">
    <pivotField axis="axisRow" numFmtId="14" showAll="0">
      <items count="15">
        <item x="0"/>
        <item x="1"/>
        <item x="2"/>
        <item x="3"/>
        <item x="4"/>
        <item x="5"/>
        <item x="6"/>
        <item x="7"/>
        <item x="8"/>
        <item x="9"/>
        <item x="10"/>
        <item x="11"/>
        <item x="12"/>
        <item x="13"/>
        <item t="default"/>
      </items>
    </pivotField>
    <pivotField showAll="0"/>
    <pivotField dataField="1" showAll="0"/>
    <pivotField dataField="1" showAll="0"/>
    <pivotField showAll="0"/>
    <pivotField showAll="0"/>
    <pivotField numFmtId="44" showAll="0"/>
    <pivotField showAll="0"/>
    <pivotField showAll="0"/>
    <pivotField showAll="0"/>
    <pivotField axis="axisRow" showAll="0">
      <items count="7">
        <item sd="0" x="0"/>
        <item sd="0" x="1"/>
        <item sd="0" x="2"/>
        <item sd="0" x="3"/>
        <item sd="0" x="4"/>
        <item sd="0" x="5"/>
        <item t="default"/>
      </items>
    </pivotField>
    <pivotField axis="axisRow" showAll="0">
      <items count="11">
        <item sd="0" x="0"/>
        <item sd="0" x="1"/>
        <item sd="0" x="2"/>
        <item sd="0" x="3"/>
        <item sd="0" x="4"/>
        <item sd="0" x="5"/>
        <item sd="0" x="6"/>
        <item sd="0" x="7"/>
        <item sd="0" x="8"/>
        <item sd="0" x="9"/>
        <item t="default"/>
      </items>
    </pivotField>
    <pivotField dragToRow="0" dragToCol="0" dragToPage="0" showAll="0" defaultSubtotal="0"/>
    <pivotField dragToRow="0" dragToCol="0" dragToPage="0" showAll="0" defaultSubtotal="0"/>
  </pivotFields>
  <rowFields count="3">
    <field x="11"/>
    <field x="10"/>
    <field x="0"/>
  </rowFields>
  <rowItems count="8">
    <i>
      <x v="1"/>
    </i>
    <i>
      <x v="2"/>
    </i>
    <i>
      <x v="3"/>
    </i>
    <i>
      <x v="4"/>
    </i>
    <i>
      <x v="5"/>
    </i>
    <i>
      <x v="6"/>
    </i>
    <i>
      <x v="7"/>
    </i>
    <i>
      <x v="8"/>
    </i>
  </rowItems>
  <colFields count="1">
    <field x="-2"/>
  </colFields>
  <colItems count="2">
    <i>
      <x/>
    </i>
    <i i="1">
      <x v="1"/>
    </i>
  </colItems>
  <dataFields count="2">
    <dataField name="DIST FG" fld="2" subtotal="average" baseField="11" baseItem="1"/>
    <dataField name="MFG FG " fld="3" subtotal="average" baseField="11" baseItem="1"/>
  </dataFields>
  <formats count="1">
    <format dxfId="5">
      <pivotArea outline="0" collapsedLevelsAreSubtotals="1" fieldPosition="0"/>
    </format>
  </formats>
  <chartFormats count="18">
    <chartFormat chart="15" format="4" series="1">
      <pivotArea type="data" outline="0" fieldPosition="0">
        <references count="1">
          <reference field="4294967294" count="1" selected="0">
            <x v="0"/>
          </reference>
        </references>
      </pivotArea>
    </chartFormat>
    <chartFormat chart="15" format="5" series="1">
      <pivotArea type="data" outline="0" fieldPosition="0">
        <references count="1">
          <reference field="4294967294" count="1" selected="0">
            <x v="1"/>
          </reference>
        </references>
      </pivotArea>
    </chartFormat>
    <chartFormat chart="15" format="6">
      <pivotArea type="data" outline="0" fieldPosition="0">
        <references count="2">
          <reference field="4294967294" count="1" selected="0">
            <x v="1"/>
          </reference>
          <reference field="11" count="1" selected="0">
            <x v="1"/>
          </reference>
        </references>
      </pivotArea>
    </chartFormat>
    <chartFormat chart="15" format="7">
      <pivotArea type="data" outline="0" fieldPosition="0">
        <references count="2">
          <reference field="4294967294" count="1" selected="0">
            <x v="0"/>
          </reference>
          <reference field="11" count="1" selected="0">
            <x v="1"/>
          </reference>
        </references>
      </pivotArea>
    </chartFormat>
    <chartFormat chart="15" format="8">
      <pivotArea type="data" outline="0" fieldPosition="0">
        <references count="2">
          <reference field="4294967294" count="1" selected="0">
            <x v="0"/>
          </reference>
          <reference field="11" count="1" selected="0">
            <x v="2"/>
          </reference>
        </references>
      </pivotArea>
    </chartFormat>
    <chartFormat chart="15" format="9">
      <pivotArea type="data" outline="0" fieldPosition="0">
        <references count="2">
          <reference field="4294967294" count="1" selected="0">
            <x v="1"/>
          </reference>
          <reference field="11" count="1" selected="0">
            <x v="2"/>
          </reference>
        </references>
      </pivotArea>
    </chartFormat>
    <chartFormat chart="15" format="10">
      <pivotArea type="data" outline="0" fieldPosition="0">
        <references count="2">
          <reference field="4294967294" count="1" selected="0">
            <x v="0"/>
          </reference>
          <reference field="11" count="1" selected="0">
            <x v="3"/>
          </reference>
        </references>
      </pivotArea>
    </chartFormat>
    <chartFormat chart="15" format="11">
      <pivotArea type="data" outline="0" fieldPosition="0">
        <references count="2">
          <reference field="4294967294" count="1" selected="0">
            <x v="1"/>
          </reference>
          <reference field="11" count="1" selected="0">
            <x v="3"/>
          </reference>
        </references>
      </pivotArea>
    </chartFormat>
    <chartFormat chart="15" format="12">
      <pivotArea type="data" outline="0" fieldPosition="0">
        <references count="2">
          <reference field="4294967294" count="1" selected="0">
            <x v="0"/>
          </reference>
          <reference field="11" count="1" selected="0">
            <x v="4"/>
          </reference>
        </references>
      </pivotArea>
    </chartFormat>
    <chartFormat chart="15" format="13">
      <pivotArea type="data" outline="0" fieldPosition="0">
        <references count="2">
          <reference field="4294967294" count="1" selected="0">
            <x v="1"/>
          </reference>
          <reference field="11" count="1" selected="0">
            <x v="4"/>
          </reference>
        </references>
      </pivotArea>
    </chartFormat>
    <chartFormat chart="15" format="14">
      <pivotArea type="data" outline="0" fieldPosition="0">
        <references count="2">
          <reference field="4294967294" count="1" selected="0">
            <x v="0"/>
          </reference>
          <reference field="11" count="1" selected="0">
            <x v="5"/>
          </reference>
        </references>
      </pivotArea>
    </chartFormat>
    <chartFormat chart="15" format="15">
      <pivotArea type="data" outline="0" fieldPosition="0">
        <references count="2">
          <reference field="4294967294" count="1" selected="0">
            <x v="1"/>
          </reference>
          <reference field="11" count="1" selected="0">
            <x v="5"/>
          </reference>
        </references>
      </pivotArea>
    </chartFormat>
    <chartFormat chart="15" format="16">
      <pivotArea type="data" outline="0" fieldPosition="0">
        <references count="2">
          <reference field="4294967294" count="1" selected="0">
            <x v="0"/>
          </reference>
          <reference field="11" count="1" selected="0">
            <x v="6"/>
          </reference>
        </references>
      </pivotArea>
    </chartFormat>
    <chartFormat chart="15" format="17">
      <pivotArea type="data" outline="0" fieldPosition="0">
        <references count="2">
          <reference field="4294967294" count="1" selected="0">
            <x v="1"/>
          </reference>
          <reference field="11" count="1" selected="0">
            <x v="6"/>
          </reference>
        </references>
      </pivotArea>
    </chartFormat>
    <chartFormat chart="15" format="18">
      <pivotArea type="data" outline="0" fieldPosition="0">
        <references count="2">
          <reference field="4294967294" count="1" selected="0">
            <x v="0"/>
          </reference>
          <reference field="11" count="1" selected="0">
            <x v="7"/>
          </reference>
        </references>
      </pivotArea>
    </chartFormat>
    <chartFormat chart="15" format="19">
      <pivotArea type="data" outline="0" fieldPosition="0">
        <references count="2">
          <reference field="4294967294" count="1" selected="0">
            <x v="1"/>
          </reference>
          <reference field="11" count="1" selected="0">
            <x v="7"/>
          </reference>
        </references>
      </pivotArea>
    </chartFormat>
    <chartFormat chart="15" format="20">
      <pivotArea type="data" outline="0" fieldPosition="0">
        <references count="2">
          <reference field="4294967294" count="1" selected="0">
            <x v="1"/>
          </reference>
          <reference field="11" count="1" selected="0">
            <x v="8"/>
          </reference>
        </references>
      </pivotArea>
    </chartFormat>
    <chartFormat chart="15" format="21">
      <pivotArea type="data" outline="0" fieldPosition="0">
        <references count="2">
          <reference field="4294967294" count="1" selected="0">
            <x v="0"/>
          </reference>
          <reference field="11"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4701F6A-5C14-4C40-A50D-A1467F0D226B}" name="PivotTable24"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4">
  <location ref="G15:J24" firstHeaderRow="0" firstDataRow="1" firstDataCol="1"/>
  <pivotFields count="14">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numFmtId="44" showAll="0"/>
    <pivotField showAll="0"/>
    <pivotField dataField="1" showAll="0"/>
    <pivotField dataField="1" showAll="0"/>
    <pivotField axis="axisRow" showAll="0" defaultSubtotal="0">
      <items count="6">
        <item sd="0" x="0"/>
        <item sd="0" x="1"/>
        <item sd="0" x="2"/>
        <item sd="0" x="3"/>
        <item sd="0" x="4"/>
        <item sd="0" x="5"/>
      </items>
    </pivotField>
    <pivotField axis="axisRow" showAll="0" defaultSubtotal="0">
      <items count="10">
        <item sd="0" x="0"/>
        <item sd="0" x="1"/>
        <item sd="0" x="2"/>
        <item sd="0" x="3"/>
        <item sd="0" x="4"/>
        <item sd="0" x="5"/>
        <item sd="0" x="6"/>
        <item sd="0" x="7"/>
        <item sd="0" x="8"/>
        <item sd="0" x="9"/>
      </items>
    </pivotField>
    <pivotField dragToRow="0" dragToCol="0" dragToPage="0" showAll="0" defaultSubtotal="0"/>
    <pivotField dragToRow="0" dragToCol="0" dragToPage="0" showAll="0" defaultSubtotal="0"/>
  </pivotFields>
  <rowFields count="3">
    <field x="11"/>
    <field x="10"/>
    <field x="0"/>
  </rowFields>
  <rowItems count="9">
    <i>
      <x v="1"/>
    </i>
    <i>
      <x v="2"/>
    </i>
    <i>
      <x v="3"/>
    </i>
    <i>
      <x v="4"/>
    </i>
    <i>
      <x v="5"/>
    </i>
    <i>
      <x v="6"/>
    </i>
    <i>
      <x v="7"/>
    </i>
    <i>
      <x v="8"/>
    </i>
    <i t="grand">
      <x/>
    </i>
  </rowItems>
  <colFields count="1">
    <field x="-2"/>
  </colFields>
  <colItems count="3">
    <i>
      <x/>
    </i>
    <i i="1">
      <x v="1"/>
    </i>
    <i i="2">
      <x v="2"/>
    </i>
  </colItems>
  <dataFields count="3">
    <dataField name="Total  " fld="6" subtotal="average" baseField="10" baseItem="1"/>
    <dataField name="DIST FG (Non-Commit) " fld="8" subtotal="average" baseField="11" baseItem="1"/>
    <dataField name="MFG FG (Non-Commit) " fld="9" subtotal="average" baseField="11" baseItem="1"/>
  </dataFields>
  <chartFormats count="6">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3" format="9">
      <pivotArea type="data" outline="0" fieldPosition="0">
        <references count="2">
          <reference field="4294967294" count="1" selected="0">
            <x v="1"/>
          </reference>
          <reference field="11" count="1" selected="0">
            <x v="6"/>
          </reference>
        </references>
      </pivotArea>
    </chartFormat>
    <chartFormat chart="3" format="10">
      <pivotArea type="data" outline="0" fieldPosition="0">
        <references count="2">
          <reference field="4294967294" count="1" selected="0">
            <x v="2"/>
          </reference>
          <reference field="11" count="1" selected="0">
            <x v="6"/>
          </reference>
        </references>
      </pivotArea>
    </chartFormat>
    <chartFormat chart="3" format="11">
      <pivotArea type="data" outline="0" fieldPosition="0">
        <references count="2">
          <reference field="4294967294" count="1" selected="0">
            <x v="2"/>
          </reference>
          <reference field="11"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D5261A1-5663-4ABA-92A0-17BC7B2EC2C3}" name="PivotTable3" cacheId="4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M26:N35" firstHeaderRow="1" firstDataRow="1" firstDataCol="1"/>
  <pivotFields count="14">
    <pivotField axis="axisRow"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numFmtId="44" showAll="0"/>
    <pivotField showAll="0"/>
    <pivotField showAll="0"/>
    <pivotField showAll="0"/>
    <pivotField axis="axisRow" showAll="0" defaultSubtotal="0">
      <items count="6">
        <item sd="0" x="0"/>
        <item sd="0" x="1"/>
        <item sd="0" x="2"/>
        <item sd="0" x="3"/>
        <item sd="0" x="4"/>
        <item sd="0" x="5"/>
      </items>
    </pivotField>
    <pivotField axis="axisRow" showAll="0" defaultSubtotal="0">
      <items count="10">
        <item sd="0" x="0"/>
        <item sd="0" x="1"/>
        <item sd="0" x="2"/>
        <item sd="0" x="3"/>
        <item sd="0" x="4"/>
        <item sd="0" x="5"/>
        <item sd="0" x="6"/>
        <item sd="0" x="7"/>
        <item sd="0" x="8"/>
        <item sd="0" x="9"/>
      </items>
    </pivotField>
    <pivotField dragToRow="0" dragToCol="0" dragToPage="0" showAll="0" defaultSubtotal="0"/>
    <pivotField dragToRow="0" dragToCol="0" dragToPage="0" showAll="0" defaultSubtotal="0"/>
  </pivotFields>
  <rowFields count="3">
    <field x="11"/>
    <field x="10"/>
    <field x="0"/>
  </rowFields>
  <rowItems count="9">
    <i>
      <x v="1"/>
    </i>
    <i>
      <x v="2"/>
    </i>
    <i>
      <x v="3"/>
    </i>
    <i>
      <x v="4"/>
    </i>
    <i>
      <x v="5"/>
    </i>
    <i>
      <x v="6"/>
    </i>
    <i>
      <x v="7"/>
    </i>
    <i>
      <x v="8"/>
    </i>
    <i t="grand">
      <x/>
    </i>
  </rowItems>
  <colItems count="1">
    <i/>
  </colItems>
  <dataFields count="1">
    <dataField name="Sum of Total " fld="6" baseField="0" baseItem="0"/>
  </dataFields>
  <formats count="8">
    <format dxfId="13">
      <pivotArea collapsedLevelsAreSubtotals="1" fieldPosition="0">
        <references count="1">
          <reference field="11" count="1">
            <x v="1"/>
          </reference>
        </references>
      </pivotArea>
    </format>
    <format dxfId="12">
      <pivotArea collapsedLevelsAreSubtotals="1" fieldPosition="0">
        <references count="1">
          <reference field="11" count="1">
            <x v="2"/>
          </reference>
        </references>
      </pivotArea>
    </format>
    <format dxfId="11">
      <pivotArea collapsedLevelsAreSubtotals="1" fieldPosition="0">
        <references count="1">
          <reference field="11" count="1">
            <x v="3"/>
          </reference>
        </references>
      </pivotArea>
    </format>
    <format dxfId="10">
      <pivotArea collapsedLevelsAreSubtotals="1" fieldPosition="0">
        <references count="1">
          <reference field="11" count="1">
            <x v="4"/>
          </reference>
        </references>
      </pivotArea>
    </format>
    <format dxfId="9">
      <pivotArea collapsedLevelsAreSubtotals="1" fieldPosition="0">
        <references count="1">
          <reference field="11" count="1">
            <x v="5"/>
          </reference>
        </references>
      </pivotArea>
    </format>
    <format dxfId="8">
      <pivotArea collapsedLevelsAreSubtotals="1" fieldPosition="0">
        <references count="1">
          <reference field="11" count="1">
            <x v="6"/>
          </reference>
        </references>
      </pivotArea>
    </format>
    <format dxfId="7">
      <pivotArea collapsedLevelsAreSubtotals="1" fieldPosition="0">
        <references count="1">
          <reference field="11" count="1">
            <x v="7"/>
          </reference>
        </references>
      </pivotArea>
    </format>
    <format dxfId="6">
      <pivotArea collapsedLevelsAreSubtotals="1" fieldPosition="0">
        <references count="1">
          <reference field="11" count="1">
            <x v="8"/>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7D3B7D7-83D1-4640-841B-D7A0D44B650A}" name="PivotTable1" cacheId="47"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location ref="E73:G79" firstHeaderRow="0" firstDataRow="1" firstDataCol="1"/>
  <pivotFields count="14">
    <pivotField showAll="0">
      <items count="15">
        <item x="0"/>
        <item x="1"/>
        <item x="2"/>
        <item x="3"/>
        <item x="4"/>
        <item x="5"/>
        <item x="6"/>
        <item x="7"/>
        <item x="8"/>
        <item x="9"/>
        <item x="10"/>
        <item x="11"/>
        <item x="12"/>
        <item x="13"/>
        <item t="default"/>
      </items>
    </pivotField>
    <pivotField showAll="0"/>
    <pivotField showAll="0"/>
    <pivotField showAll="0"/>
    <pivotField showAll="0"/>
    <pivotField showAll="0"/>
    <pivotField dataField="1" numFmtId="44" showAll="0"/>
    <pivotField showAll="0"/>
    <pivotField showAll="0"/>
    <pivotField showAll="0"/>
    <pivotField showAll="0" defaultSubtotal="0">
      <items count="6">
        <item sd="0" x="0"/>
        <item sd="0" x="1"/>
        <item sd="0" x="2"/>
        <item sd="0" x="3"/>
        <item sd="0" x="4"/>
        <item sd="0" x="5"/>
      </items>
    </pivotField>
    <pivotField axis="axisRow" showAll="0" defaultSubtotal="0">
      <items count="10">
        <item sd="0" x="0"/>
        <item sd="0" x="1"/>
        <item sd="0" x="2"/>
        <item sd="0" x="3"/>
        <item sd="0" x="4"/>
        <item sd="0" x="5"/>
        <item sd="0" x="6"/>
        <item sd="0" x="7"/>
        <item sd="0" x="8"/>
        <item sd="0" x="9"/>
      </items>
    </pivotField>
    <pivotField dragToRow="0" dragToCol="0" dragToPage="0" showAll="0" defaultSubtotal="0"/>
    <pivotField dragToRow="0" dragToCol="0" dragToPage="0" showAll="0" defaultSubtotal="0"/>
  </pivotFields>
  <rowFields count="1">
    <field x="11"/>
  </rowFields>
  <rowItems count="6">
    <i>
      <x v="2"/>
    </i>
    <i>
      <x v="3"/>
    </i>
    <i>
      <x v="4"/>
    </i>
    <i>
      <x v="5"/>
    </i>
    <i>
      <x v="6"/>
    </i>
    <i>
      <x v="7"/>
    </i>
  </rowItems>
  <colFields count="1">
    <field x="-2"/>
  </colFields>
  <colItems count="2">
    <i>
      <x/>
    </i>
    <i i="1">
      <x v="1"/>
    </i>
  </colItems>
  <dataFields count="2">
    <dataField name="Sum of Total 2" fld="6" showDataAs="percentDiff" baseField="11" baseItem="1048828" numFmtId="10"/>
    <dataField name="Sum of Total " fld="6" baseField="0" baseItem="0" numFmtId="165"/>
  </dataFields>
  <pivotTableStyleInfo name="PivotStyleLight16" showRowHeaders="1" showColHeaders="1" showRowStripes="0" showColStripes="0" showLastColumn="1"/>
  <filters count="2">
    <filter fld="0" type="dateBetween" evalOrder="-1" id="16">
      <autoFilter ref="A1">
        <filterColumn colId="0">
          <customFilters and="1">
            <customFilter operator="greaterThanOrEqual" val="43831"/>
            <customFilter operator="lessThanOrEqual" val="45992"/>
          </customFilters>
        </filterColumn>
      </autoFilter>
    </filter>
    <filter fld="1" type="captionBetween" evalOrder="-1" id="11" stringValue1="2021-10" stringValue2="2026-07">
      <autoFilter ref="A1">
        <filterColumn colId="0">
          <customFilters and="1">
            <customFilter operator="greaterThanOrEqual" val="2021-10"/>
            <customFilter operator="lessThanOrEqual" val="2026-07"/>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FB9DBD46-2C11-4B45-8820-A9C6835BB561}" name="PivotTable23" cacheId="47" applyNumberFormats="0" applyBorderFormats="0" applyFontFormats="0" applyPatternFormats="0" applyAlignmentFormats="0" applyWidthHeightFormats="1" dataCaption="Values" updatedVersion="6" minRefreshableVersion="3" useAutoFormatting="1" rowGrandTotals="0" itemPrintTitles="1" createdVersion="6" indent="0" outline="1" outlineData="1" multipleFieldFilters="0" chartFormat="3">
  <location ref="G3:J11" firstHeaderRow="0" firstDataRow="1" firstDataCol="1"/>
  <pivotFields count="14">
    <pivotField axis="axisRow" numFmtId="164" showAll="0">
      <items count="15">
        <item x="0"/>
        <item x="1"/>
        <item x="2"/>
        <item x="3"/>
        <item x="4"/>
        <item x="5"/>
        <item x="6"/>
        <item x="7"/>
        <item x="8"/>
        <item x="9"/>
        <item x="10"/>
        <item x="11"/>
        <item x="12"/>
        <item x="13"/>
        <item t="default"/>
      </items>
    </pivotField>
    <pivotField showAll="0"/>
    <pivotField numFmtId="44" showAll="0"/>
    <pivotField dataField="1" numFmtId="44" showAll="0"/>
    <pivotField dataField="1" numFmtId="44" showAll="0"/>
    <pivotField dataField="1" numFmtId="44" showAll="0"/>
    <pivotField numFmtId="44" showAll="0"/>
    <pivotField showAll="0"/>
    <pivotField showAll="0"/>
    <pivotField showAll="0"/>
    <pivotField axis="axisRow" showAll="0">
      <items count="7">
        <item sd="0" x="0"/>
        <item sd="0" x="1"/>
        <item sd="0" x="2"/>
        <item sd="0" x="3"/>
        <item sd="0" x="4"/>
        <item x="5"/>
        <item t="default" sd="0"/>
      </items>
    </pivotField>
    <pivotField axis="axisRow" showAll="0">
      <items count="11">
        <item sd="0" x="0"/>
        <item sd="0" x="1"/>
        <item sd="0" x="2"/>
        <item sd="0" x="3"/>
        <item sd="0" x="4"/>
        <item sd="0" x="5"/>
        <item sd="0" x="6"/>
        <item sd="0" x="7"/>
        <item sd="0" x="8"/>
        <item x="9"/>
        <item t="default" sd="0"/>
      </items>
    </pivotField>
    <pivotField dragToRow="0" dragToCol="0" dragToPage="0" showAll="0" defaultSubtotal="0"/>
    <pivotField dragToRow="0" dragToCol="0" dragToPage="0" showAll="0" defaultSubtotal="0"/>
  </pivotFields>
  <rowFields count="3">
    <field x="11"/>
    <field x="10"/>
    <field x="0"/>
  </rowFields>
  <rowItems count="8">
    <i>
      <x v="1"/>
    </i>
    <i>
      <x v="2"/>
    </i>
    <i>
      <x v="3"/>
    </i>
    <i>
      <x v="4"/>
    </i>
    <i>
      <x v="5"/>
    </i>
    <i>
      <x v="6"/>
    </i>
    <i>
      <x v="7"/>
    </i>
    <i>
      <x v="8"/>
    </i>
  </rowItems>
  <colFields count="1">
    <field x="-2"/>
  </colFields>
  <colItems count="3">
    <i>
      <x/>
    </i>
    <i i="1">
      <x v="1"/>
    </i>
    <i i="2">
      <x v="2"/>
    </i>
  </colItems>
  <dataFields count="3">
    <dataField name="FG" fld="3" subtotal="average" baseField="11" baseItem="1"/>
    <dataField name="WP " fld="4" subtotal="average" baseField="11" baseItem="1"/>
    <dataField name="PL " fld="5" subtotal="average" baseField="11" baseItem="1"/>
  </dataFields>
  <formats count="1">
    <format dxfId="14">
      <pivotArea outline="0" collapsedLevelsAreSubtotals="1" fieldPosition="0"/>
    </format>
  </formats>
  <chartFormats count="3">
    <chartFormat chart="2" format="6" series="1">
      <pivotArea type="data" outline="0" fieldPosition="0">
        <references count="1">
          <reference field="4294967294" count="1" selected="0">
            <x v="1"/>
          </reference>
        </references>
      </pivotArea>
    </chartFormat>
    <chartFormat chart="2" format="7" series="1">
      <pivotArea type="data" outline="0" fieldPosition="0">
        <references count="1">
          <reference field="4294967294" count="1" selected="0">
            <x v="0"/>
          </reference>
        </references>
      </pivotArea>
    </chartFormat>
    <chartFormat chart="2"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_End" xr10:uid="{195B779A-DD5D-4A40-ACF4-21ECDD903100}" sourceName="Month End">
  <pivotTables>
    <pivotTable tabId="11" name="PivotTable22"/>
    <pivotTable tabId="11" name="PivotTable24"/>
    <pivotTable tabId="11" name="PivotTable23"/>
  </pivotTables>
  <data>
    <tabular pivotCacheId="1603273719">
      <items count="14">
        <i x="1" s="1"/>
        <i x="2" s="1"/>
        <i x="3" s="1"/>
        <i x="4" s="1"/>
        <i x="5" s="1"/>
        <i x="6" s="1"/>
        <i x="7" s="1"/>
        <i x="8" s="1"/>
        <i x="9" s="1"/>
        <i x="10" s="1"/>
        <i x="11" s="1"/>
        <i x="12" s="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End" xr10:uid="{AC9FE117-BDB1-45A4-A19A-612FAA7B4E59}" cache="Slicer_Month_End" caption="Month End" columnCount="3" style="SlicerStyleLight1 2" lockedPosition="1" rowHeight="27432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030C764-1B76-485C-B757-B006A3700043}" name="Table1" displayName="Table1" ref="A43:B126" totalsRowShown="0">
  <autoFilter ref="A43:B126" xr:uid="{ED498732-AE67-467E-AD33-AB7C9CE098D0}"/>
  <tableColumns count="2">
    <tableColumn id="1" xr3:uid="{C9B23685-35E5-493C-84EB-3F3A363D242C}" name="Month" dataDxfId="3"/>
    <tableColumn id="2" xr3:uid="{605D8C83-8FA0-43C8-9EEA-8AE4E584B4AB}" name="$ Chang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FCB53C0-F006-4EF7-8536-BDB3A9D4A453}" name="Table2" displayName="Table2" ref="D32:G33" totalsRowShown="0">
  <autoFilter ref="D32:G33" xr:uid="{E2A45408-BB74-49F8-8558-B9034CB59830}"/>
  <tableColumns count="4">
    <tableColumn id="1" xr3:uid="{16B30401-F190-441D-ABD9-BB5295F49FCD}" name="total" dataDxfId="2">
      <calculatedColumnFormula>E48</calculatedColumnFormula>
    </tableColumn>
    <tableColumn id="2" xr3:uid="{283A2B16-FBFC-49B2-8E22-8D392B826D82}" name="total non commit" dataDxfId="1">
      <calculatedColumnFormula>E49+E50</calculatedColumnFormula>
    </tableColumn>
    <tableColumn id="3" xr3:uid="{EC0D0227-CD95-4D41-973D-A9D8EC29FED6}" name="non-commit share" dataDxfId="0">
      <calculatedColumnFormula>Table2[total non commit]/Table2[total]</calculatedColumnFormula>
    </tableColumn>
    <tableColumn id="4" xr3:uid="{7A088C4A-DBBB-44A3-A697-685357C7ACD3}" name="Column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 Id="rId9"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110"/>
  <sheetViews>
    <sheetView workbookViewId="0">
      <pane ySplit="2" topLeftCell="A3" activePane="bottomLeft" state="frozen"/>
      <selection pane="bottomLeft" activeCell="J3" sqref="J3"/>
    </sheetView>
  </sheetViews>
  <sheetFormatPr defaultRowHeight="15"/>
  <cols>
    <col min="1" max="1" width="13.7109375" bestFit="1" customWidth="1"/>
    <col min="2" max="2" width="13.7109375" customWidth="1"/>
    <col min="3" max="3" width="14.28515625" style="2" bestFit="1" customWidth="1"/>
    <col min="4" max="5" width="14.28515625" bestFit="1" customWidth="1"/>
    <col min="6" max="6" width="17" customWidth="1"/>
    <col min="7" max="7" width="16.7109375" customWidth="1"/>
    <col min="8" max="8" width="16.7109375" style="15" customWidth="1"/>
    <col min="9" max="10" width="15.28515625" bestFit="1" customWidth="1"/>
    <col min="11" max="11" width="16.28515625" bestFit="1" customWidth="1"/>
  </cols>
  <sheetData>
    <row r="1" spans="1:11">
      <c r="C1" s="3"/>
      <c r="D1" s="3"/>
      <c r="E1" s="3"/>
      <c r="F1" s="3"/>
      <c r="I1" s="3"/>
      <c r="J1" s="3"/>
    </row>
    <row r="2" spans="1:11">
      <c r="A2" s="9" t="s">
        <v>0</v>
      </c>
      <c r="B2" s="9" t="s">
        <v>23</v>
      </c>
      <c r="C2" s="3" t="s">
        <v>46</v>
      </c>
      <c r="D2" s="3" t="s">
        <v>47</v>
      </c>
      <c r="E2" s="3" t="s">
        <v>48</v>
      </c>
      <c r="F2" s="3" t="s">
        <v>49</v>
      </c>
      <c r="G2" s="3" t="s">
        <v>1</v>
      </c>
      <c r="H2" s="16" t="s">
        <v>25</v>
      </c>
      <c r="I2" s="3" t="s">
        <v>43</v>
      </c>
      <c r="J2" s="3" t="s">
        <v>43</v>
      </c>
    </row>
    <row r="3" spans="1:11">
      <c r="A3" s="9">
        <v>43738</v>
      </c>
      <c r="B3" t="str">
        <f>TEXT(A3, "yyyy-mm")</f>
        <v>2019-09</v>
      </c>
      <c r="C3" s="2">
        <v>1260893.6445000002</v>
      </c>
      <c r="D3" s="2">
        <v>1357165.5614999998</v>
      </c>
      <c r="E3" s="2">
        <v>456322.56599999999</v>
      </c>
      <c r="F3" s="2">
        <v>542093.076</v>
      </c>
      <c r="G3" s="4">
        <f>((SUM(C3:F3))*1)*1.05</f>
        <v>3797298.5904000006</v>
      </c>
    </row>
    <row r="4" spans="1:11">
      <c r="A4" s="9">
        <v>43769</v>
      </c>
      <c r="B4" t="str">
        <f t="shared" ref="B4:B67" si="0">TEXT(A4, "yyyy-mm")</f>
        <v>2019-10</v>
      </c>
      <c r="C4" s="2">
        <v>1260883.9555200001</v>
      </c>
      <c r="D4" s="2">
        <v>1410433.5671999999</v>
      </c>
      <c r="E4" s="2">
        <v>361398.47184000001</v>
      </c>
      <c r="F4" s="2">
        <v>509282.99855999998</v>
      </c>
      <c r="G4" s="4">
        <f>((SUM(C4:F4))*0.96)*1.05</f>
        <v>3570334.9850649596</v>
      </c>
      <c r="H4" s="15">
        <f>(G4-G3)/G3</f>
        <v>-5.9769754716900735E-2</v>
      </c>
    </row>
    <row r="5" spans="1:11">
      <c r="A5" s="9">
        <v>43799</v>
      </c>
      <c r="B5" t="str">
        <f t="shared" si="0"/>
        <v>2019-11</v>
      </c>
      <c r="C5" s="2">
        <v>1271351.3954960001</v>
      </c>
      <c r="D5" s="2">
        <v>1437582.5145760002</v>
      </c>
      <c r="E5" s="2">
        <v>437108.89092000003</v>
      </c>
      <c r="F5" s="2">
        <v>543080.92872800003</v>
      </c>
      <c r="G5" s="4">
        <f>((SUM(C5:F5))*1.04)*1.03</f>
        <v>3951789.3392760642</v>
      </c>
      <c r="H5" s="15">
        <f t="shared" ref="H5:H68" si="1">(G5-G4)/G4</f>
        <v>0.10683993401368871</v>
      </c>
    </row>
    <row r="6" spans="1:11">
      <c r="A6" s="9">
        <v>43830</v>
      </c>
      <c r="B6" t="str">
        <f t="shared" si="0"/>
        <v>2019-12</v>
      </c>
      <c r="C6" s="2">
        <v>1236693.8217849999</v>
      </c>
      <c r="D6" s="2">
        <v>1324039.5822950001</v>
      </c>
      <c r="E6" s="2">
        <v>389304.44041000004</v>
      </c>
      <c r="F6" s="2">
        <v>501100.16073</v>
      </c>
      <c r="G6" s="4">
        <f>((SUM(C6:F6))*1.01)*0.95</f>
        <v>3311366.9160085903</v>
      </c>
      <c r="H6" s="15">
        <f t="shared" si="1"/>
        <v>-0.16205884683741623</v>
      </c>
    </row>
    <row r="7" spans="1:11">
      <c r="A7" s="9">
        <v>43861</v>
      </c>
      <c r="B7" t="str">
        <f t="shared" si="0"/>
        <v>2020-01</v>
      </c>
      <c r="C7" s="2">
        <v>1196561.9299199998</v>
      </c>
      <c r="D7" s="2">
        <v>1352543.6246399998</v>
      </c>
      <c r="E7" s="2">
        <v>355355.42832000001</v>
      </c>
      <c r="F7" s="2">
        <v>457138.61375999992</v>
      </c>
      <c r="G7" s="4">
        <f>((SUM(C7:F7))*0.96)*0.95</f>
        <v>3065778.8321356797</v>
      </c>
      <c r="H7" s="15">
        <f t="shared" si="1"/>
        <v>-7.4165168071720106E-2</v>
      </c>
    </row>
    <row r="8" spans="1:11">
      <c r="A8" s="9">
        <v>43890</v>
      </c>
      <c r="B8" t="str">
        <f t="shared" si="0"/>
        <v>2020-02</v>
      </c>
      <c r="C8" s="2">
        <v>1256912.0760239998</v>
      </c>
      <c r="D8" s="2">
        <v>1503099.2560320001</v>
      </c>
      <c r="E8" s="2">
        <v>404797.59698400006</v>
      </c>
      <c r="F8" s="2">
        <v>568504.62603000004</v>
      </c>
      <c r="G8" s="4">
        <f>((SUM(C8:F8))*0.99)*1.02</f>
        <v>3769900.0279096859</v>
      </c>
      <c r="H8" s="15">
        <f t="shared" si="1"/>
        <v>0.22967123015964658</v>
      </c>
    </row>
    <row r="9" spans="1:11">
      <c r="A9" s="9">
        <v>43921</v>
      </c>
      <c r="B9" t="str">
        <f t="shared" si="0"/>
        <v>2020-03</v>
      </c>
      <c r="C9" s="2">
        <v>1159144.7135000001</v>
      </c>
      <c r="D9" s="2">
        <v>1450591.0201999999</v>
      </c>
      <c r="E9" s="2">
        <v>450544.68819999998</v>
      </c>
      <c r="F9" s="2">
        <v>568967.54559999995</v>
      </c>
      <c r="G9" s="4">
        <f>((SUM(C9:F9))*1)*0.97</f>
        <v>3520370.5284749991</v>
      </c>
      <c r="H9" s="15">
        <f t="shared" si="1"/>
        <v>-6.618995134813814E-2</v>
      </c>
    </row>
    <row r="10" spans="1:11">
      <c r="A10" s="9">
        <v>43951</v>
      </c>
      <c r="B10" t="str">
        <f t="shared" si="0"/>
        <v>2020-04</v>
      </c>
      <c r="C10" s="2">
        <v>1322118.559377</v>
      </c>
      <c r="D10" s="2">
        <v>1573939.2863699999</v>
      </c>
      <c r="E10" s="2">
        <v>422107.82588699996</v>
      </c>
      <c r="F10" s="2">
        <v>531555.11828100006</v>
      </c>
      <c r="G10" s="4">
        <f>((SUM(C10:F10))*0.97)*0.99</f>
        <v>3696886.8745553745</v>
      </c>
      <c r="H10" s="15">
        <f t="shared" si="1"/>
        <v>5.0141411153342731E-2</v>
      </c>
    </row>
    <row r="11" spans="1:11">
      <c r="A11" s="9">
        <v>43982</v>
      </c>
      <c r="B11" t="str">
        <f t="shared" si="0"/>
        <v>2020-05</v>
      </c>
      <c r="C11" s="2">
        <v>1472037.71181</v>
      </c>
      <c r="D11" s="2">
        <v>1671268.7481280002</v>
      </c>
      <c r="E11" s="2">
        <v>468269.88529800001</v>
      </c>
      <c r="F11" s="2">
        <v>617389.46255599998</v>
      </c>
      <c r="G11" s="4">
        <f>((SUM(C11:F11))*1.01)*1.03</f>
        <v>4399393.1298460178</v>
      </c>
      <c r="H11" s="15">
        <f t="shared" si="1"/>
        <v>0.19002644092947366</v>
      </c>
    </row>
    <row r="12" spans="1:11">
      <c r="A12" s="9">
        <v>44012</v>
      </c>
      <c r="B12" t="str">
        <f t="shared" si="0"/>
        <v>2020-06</v>
      </c>
      <c r="C12" s="2">
        <v>1429560.1628</v>
      </c>
      <c r="D12" s="2">
        <v>1618439.8258</v>
      </c>
      <c r="E12" s="2">
        <v>431115.63179999997</v>
      </c>
      <c r="F12" s="2">
        <v>543710.53659999999</v>
      </c>
      <c r="G12" s="4">
        <f>((SUM(C12:F12))*0.98)*1</f>
        <v>3942369.6338599995</v>
      </c>
      <c r="H12" s="15">
        <f t="shared" si="1"/>
        <v>-0.10388330446886307</v>
      </c>
    </row>
    <row r="13" spans="1:11">
      <c r="A13" s="9">
        <v>44043</v>
      </c>
      <c r="B13" t="str">
        <f t="shared" si="0"/>
        <v>2020-07</v>
      </c>
      <c r="C13" s="2">
        <v>1407415.4716719999</v>
      </c>
      <c r="D13" s="2">
        <v>1572940.2387999999</v>
      </c>
      <c r="E13" s="2">
        <v>405642.03511999996</v>
      </c>
      <c r="F13" s="2">
        <v>532470.38465599995</v>
      </c>
      <c r="G13" s="4">
        <f>((SUM(C13:F13))*0.98)*0.98</f>
        <v>3763296.7922901791</v>
      </c>
      <c r="H13" s="15">
        <f t="shared" si="1"/>
        <v>-4.5422641254084802E-2</v>
      </c>
    </row>
    <row r="14" spans="1:11">
      <c r="A14" s="9">
        <v>44074</v>
      </c>
      <c r="B14" t="str">
        <f t="shared" si="0"/>
        <v>2020-08</v>
      </c>
      <c r="C14" s="2">
        <v>1325556.7903369998</v>
      </c>
      <c r="D14" s="2">
        <v>1609591.6458759999</v>
      </c>
      <c r="E14" s="2">
        <v>417739.55882999999</v>
      </c>
      <c r="F14" s="2">
        <v>553015.59334799997</v>
      </c>
      <c r="G14" s="4">
        <f>((SUM(C14:F14))*0.97)*0.97</f>
        <v>3675064.6863170913</v>
      </c>
      <c r="H14" s="15">
        <f t="shared" si="1"/>
        <v>-2.3445428527945969E-2</v>
      </c>
    </row>
    <row r="15" spans="1:11">
      <c r="A15" s="9">
        <v>44104</v>
      </c>
      <c r="B15" t="str">
        <f t="shared" si="0"/>
        <v>2020-09</v>
      </c>
      <c r="C15" s="2">
        <v>1404133.26768</v>
      </c>
      <c r="D15" s="2">
        <v>1672052.22756</v>
      </c>
      <c r="E15" s="2">
        <v>576888.27768000006</v>
      </c>
      <c r="F15" s="2">
        <v>596641.33900799998</v>
      </c>
      <c r="G15" s="4">
        <f>((SUM(C15:F15))*1.04)*0.99</f>
        <v>4375506.6792410696</v>
      </c>
      <c r="H15" s="15">
        <f t="shared" si="1"/>
        <v>0.19059310589330478</v>
      </c>
      <c r="K15" s="4"/>
    </row>
    <row r="16" spans="1:11">
      <c r="A16" s="9">
        <v>44135</v>
      </c>
      <c r="B16" t="str">
        <f t="shared" si="0"/>
        <v>2020-10</v>
      </c>
      <c r="C16" s="2">
        <v>1263395.9944319997</v>
      </c>
      <c r="D16" s="2">
        <v>1686336.5519039999</v>
      </c>
      <c r="E16" s="2">
        <v>514024.34515199997</v>
      </c>
      <c r="F16" s="2">
        <v>529484.88864000002</v>
      </c>
      <c r="G16" s="4">
        <f>((SUM(C16:F16))*1.01)*0.96</f>
        <v>3871847.2300121086</v>
      </c>
      <c r="H16" s="15">
        <f t="shared" si="1"/>
        <v>-0.11510882879427363</v>
      </c>
    </row>
    <row r="17" spans="1:10">
      <c r="A17" s="9">
        <v>44165</v>
      </c>
      <c r="B17" t="str">
        <f t="shared" si="0"/>
        <v>2020-11</v>
      </c>
      <c r="C17" s="2">
        <v>1324210.3257599999</v>
      </c>
      <c r="D17" s="2">
        <v>1750028.6764800001</v>
      </c>
      <c r="E17" s="2">
        <v>570604.14431999996</v>
      </c>
      <c r="F17" s="2">
        <v>541815.27120000008</v>
      </c>
      <c r="G17" s="4">
        <f>((SUM(C17:F17))*1.05)*0.96</f>
        <v>4220151.6851020809</v>
      </c>
      <c r="H17" s="15">
        <f t="shared" si="1"/>
        <v>8.9958212294673379E-2</v>
      </c>
    </row>
    <row r="18" spans="1:10">
      <c r="A18" s="9">
        <v>44196</v>
      </c>
      <c r="B18" t="str">
        <f t="shared" si="0"/>
        <v>2020-12</v>
      </c>
      <c r="C18" s="2">
        <v>1339051.77672</v>
      </c>
      <c r="D18" s="2">
        <v>1640523.3295499999</v>
      </c>
      <c r="E18" s="2">
        <v>661921.2593700001</v>
      </c>
      <c r="F18" s="2">
        <v>555406.83513000002</v>
      </c>
      <c r="G18" s="4">
        <f>((SUM(C18:F18))*1.05)*0.98</f>
        <v>4318613.3935923297</v>
      </c>
      <c r="H18" s="15">
        <f t="shared" si="1"/>
        <v>2.3331319781191014E-2</v>
      </c>
    </row>
    <row r="19" spans="1:10">
      <c r="A19" s="9">
        <v>44227</v>
      </c>
      <c r="B19" t="str">
        <f t="shared" si="0"/>
        <v>2021-01</v>
      </c>
      <c r="C19" s="2">
        <v>1302547.1923380001</v>
      </c>
      <c r="D19" s="2">
        <v>1630514.4451960002</v>
      </c>
      <c r="E19" s="2">
        <v>569200.57924800005</v>
      </c>
      <c r="F19" s="2">
        <v>576886.35272800003</v>
      </c>
      <c r="G19" s="4">
        <f>((SUM(C19:F19))*0.98)*1.03</f>
        <v>4117492.5660633943</v>
      </c>
      <c r="H19" s="15">
        <f t="shared" si="1"/>
        <v>-4.6570695081746619E-2</v>
      </c>
    </row>
    <row r="20" spans="1:10">
      <c r="A20" s="9">
        <v>44255</v>
      </c>
      <c r="B20" t="str">
        <f t="shared" si="0"/>
        <v>2021-02</v>
      </c>
      <c r="C20" s="2">
        <v>1351111.7600860316</v>
      </c>
      <c r="D20" s="2">
        <v>1559925.6279858688</v>
      </c>
      <c r="E20" s="2">
        <v>546467.18233595183</v>
      </c>
      <c r="F20" s="2">
        <v>558543.92078862712</v>
      </c>
      <c r="G20" s="4">
        <f>((SUM(C20:F20))*1.05)*0.96</f>
        <v>4048176.8791260505</v>
      </c>
      <c r="H20" s="15">
        <f t="shared" si="1"/>
        <v>-1.6834441307471346E-2</v>
      </c>
    </row>
    <row r="21" spans="1:10">
      <c r="A21" s="9">
        <v>44286</v>
      </c>
      <c r="B21" t="str">
        <f t="shared" si="0"/>
        <v>2021-03</v>
      </c>
      <c r="C21" s="2">
        <v>1359496.2417784892</v>
      </c>
      <c r="D21" s="2">
        <v>1633530.5425546656</v>
      </c>
      <c r="E21" s="2">
        <v>547443.01659012306</v>
      </c>
      <c r="F21" s="2">
        <v>576034.31366045261</v>
      </c>
      <c r="G21" s="4">
        <f>((SUM(C21:F21))*0.99)*1.02</f>
        <v>4156845.8549066507</v>
      </c>
      <c r="H21" s="15">
        <f t="shared" si="1"/>
        <v>2.6843929755376809E-2</v>
      </c>
    </row>
    <row r="22" spans="1:10">
      <c r="A22" s="9">
        <v>44316</v>
      </c>
      <c r="B22" t="str">
        <f t="shared" si="0"/>
        <v>2021-04</v>
      </c>
      <c r="C22" s="2">
        <v>1502973.8935847986</v>
      </c>
      <c r="D22" s="2">
        <v>1813721.6435310002</v>
      </c>
      <c r="E22" s="2">
        <v>603179.10585952678</v>
      </c>
      <c r="F22" s="2">
        <v>642615.95244448667</v>
      </c>
      <c r="G22" s="4">
        <f>((SUM(C22:F22))*1.05)*1.02</f>
        <v>4886427.4276946187</v>
      </c>
      <c r="H22" s="15">
        <f t="shared" si="1"/>
        <v>0.17551326131730041</v>
      </c>
    </row>
    <row r="23" spans="1:10">
      <c r="A23" s="9">
        <v>44347</v>
      </c>
      <c r="B23" t="str">
        <f t="shared" si="0"/>
        <v>2021-05</v>
      </c>
      <c r="C23" s="2">
        <v>1345964.2064549979</v>
      </c>
      <c r="D23" s="2">
        <v>1757130.7186619991</v>
      </c>
      <c r="E23" s="2">
        <v>548337.98656976142</v>
      </c>
      <c r="F23" s="2">
        <v>607557.94989570463</v>
      </c>
      <c r="G23" s="4">
        <f>((SUM(C23:F23))*1)*0.99</f>
        <v>4216400.9529666388</v>
      </c>
      <c r="H23" s="15">
        <f t="shared" si="1"/>
        <v>-0.13711990705735161</v>
      </c>
    </row>
    <row r="24" spans="1:10">
      <c r="A24" s="9">
        <v>44377</v>
      </c>
      <c r="B24" t="str">
        <f t="shared" si="0"/>
        <v>2021-06</v>
      </c>
      <c r="C24" s="2">
        <v>1437757.6565236459</v>
      </c>
      <c r="D24" s="2">
        <v>1927391.322294899</v>
      </c>
      <c r="E24" s="2">
        <v>592543.18530878983</v>
      </c>
      <c r="F24" s="2">
        <v>723471.93315286317</v>
      </c>
      <c r="G24" s="4">
        <f>((SUM(C24:F24))*0.99)*1.05</f>
        <v>4866070.079122765</v>
      </c>
      <c r="H24" s="15">
        <f t="shared" si="1"/>
        <v>0.15408143898151389</v>
      </c>
    </row>
    <row r="25" spans="1:10">
      <c r="A25" s="9">
        <v>44407</v>
      </c>
      <c r="B25" t="str">
        <f t="shared" si="0"/>
        <v>2021-07</v>
      </c>
      <c r="C25" s="2">
        <v>1394075.7505380001</v>
      </c>
      <c r="D25" s="2">
        <v>1650221.5462200001</v>
      </c>
      <c r="E25" s="2">
        <v>688476.30519599991</v>
      </c>
      <c r="F25" s="2">
        <v>648633.04846799991</v>
      </c>
      <c r="G25" s="4">
        <f>((SUM(C25:F25))*1.02)*0.97</f>
        <v>4334963.7399275266</v>
      </c>
      <c r="H25" s="15">
        <f t="shared" si="1"/>
        <v>-0.10914481924004352</v>
      </c>
    </row>
    <row r="26" spans="1:10">
      <c r="A26" s="9">
        <v>44439</v>
      </c>
      <c r="B26" t="str">
        <f t="shared" si="0"/>
        <v>2021-08</v>
      </c>
      <c r="C26" s="2">
        <v>1504291.2034500001</v>
      </c>
      <c r="D26" s="2">
        <v>1759125.3504300001</v>
      </c>
      <c r="E26" s="2">
        <v>758235.81645000004</v>
      </c>
      <c r="F26" s="2">
        <v>716848.57440000016</v>
      </c>
      <c r="G26" s="4">
        <f>((SUM(C26:F26))*1.05)*1.02</f>
        <v>5074934.5118058305</v>
      </c>
      <c r="H26" s="15">
        <f t="shared" si="1"/>
        <v>0.17069826099414503</v>
      </c>
    </row>
    <row r="27" spans="1:10">
      <c r="A27" s="9">
        <v>44469</v>
      </c>
      <c r="B27" t="str">
        <f t="shared" si="0"/>
        <v>2021-09</v>
      </c>
      <c r="C27" s="2">
        <v>1365201.307428</v>
      </c>
      <c r="D27" s="2">
        <v>1565835.3218772281</v>
      </c>
      <c r="E27" s="2">
        <v>550011.60517402308</v>
      </c>
      <c r="F27" s="2">
        <v>654296.33291400014</v>
      </c>
      <c r="G27" s="4">
        <f>((SUM(C27:F27))*0.98)*1.01</f>
        <v>4093164.0528058405</v>
      </c>
      <c r="H27" s="15">
        <f t="shared" si="1"/>
        <v>-0.19345480354792666</v>
      </c>
    </row>
    <row r="28" spans="1:10">
      <c r="A28" s="9">
        <v>44499</v>
      </c>
      <c r="B28" t="str">
        <f t="shared" si="0"/>
        <v>2021-10</v>
      </c>
      <c r="C28" s="2">
        <v>1361631.4789869001</v>
      </c>
      <c r="D28" s="2">
        <v>1495575.93814596</v>
      </c>
      <c r="E28" s="2">
        <v>488838.42791799334</v>
      </c>
      <c r="F28" s="2">
        <v>625263.24482713221</v>
      </c>
      <c r="G28" s="4">
        <f>((SUM(C28:F28))*0.97)*0.99</f>
        <v>3813648.1190098296</v>
      </c>
      <c r="H28" s="15">
        <f t="shared" si="1"/>
        <v>-6.8288475660877632E-2</v>
      </c>
      <c r="I28" s="4">
        <v>1011267.9573444371</v>
      </c>
      <c r="J28" s="4">
        <v>898114.20858899981</v>
      </c>
    </row>
    <row r="29" spans="1:10">
      <c r="A29" s="9">
        <v>44530</v>
      </c>
      <c r="B29" t="str">
        <f t="shared" si="0"/>
        <v>2021-11</v>
      </c>
      <c r="C29" s="2">
        <v>1480366.5228544499</v>
      </c>
      <c r="D29" s="2">
        <v>1645355.2979902502</v>
      </c>
      <c r="E29" s="2">
        <v>537536.55368969671</v>
      </c>
      <c r="F29" s="2">
        <v>673821.82665717718</v>
      </c>
      <c r="G29" s="4">
        <f>((SUM(C29:F29))*1.05)*0.99</f>
        <v>4508394.8691386422</v>
      </c>
      <c r="H29" s="15">
        <f t="shared" si="1"/>
        <v>0.18217379486736593</v>
      </c>
      <c r="I29" s="4">
        <v>1006537.2614836496</v>
      </c>
      <c r="J29" s="4">
        <v>897841.24082300079</v>
      </c>
    </row>
    <row r="30" spans="1:10">
      <c r="A30" s="9">
        <v>44561</v>
      </c>
      <c r="B30" t="str">
        <f t="shared" si="0"/>
        <v>2021-12</v>
      </c>
      <c r="C30" s="2">
        <v>1385530.9419650899</v>
      </c>
      <c r="D30" s="2">
        <v>1380077.8440479902</v>
      </c>
      <c r="E30" s="2">
        <v>479753.79007378162</v>
      </c>
      <c r="F30" s="2">
        <v>623512.2642655212</v>
      </c>
      <c r="G30" s="4">
        <f>((SUM(C30:F30))*0.97)*0.97</f>
        <v>3640224.3372875564</v>
      </c>
      <c r="H30" s="15">
        <f t="shared" si="1"/>
        <v>-0.1925675450023204</v>
      </c>
      <c r="I30" s="4">
        <v>994304.82742251514</v>
      </c>
      <c r="J30" s="4">
        <v>870725.62144996854</v>
      </c>
    </row>
    <row r="31" spans="1:10">
      <c r="A31" s="9">
        <v>44592</v>
      </c>
      <c r="B31" t="str">
        <f t="shared" si="0"/>
        <v>2022-01</v>
      </c>
      <c r="C31" s="2">
        <v>1663734.8930716801</v>
      </c>
      <c r="D31" s="2">
        <v>1521049.0949784899</v>
      </c>
      <c r="E31" s="2">
        <v>471975.59668454359</v>
      </c>
      <c r="F31" s="2">
        <v>696790.26313893765</v>
      </c>
      <c r="G31" s="4">
        <f>((SUM(C31:F31))*0.99)*1.01</f>
        <v>4353114.4928888641</v>
      </c>
      <c r="H31" s="15">
        <f t="shared" si="1"/>
        <v>0.19583687420004017</v>
      </c>
      <c r="I31" s="4">
        <v>995644.55398428824</v>
      </c>
      <c r="J31" s="4">
        <v>880110.9959138803</v>
      </c>
    </row>
    <row r="32" spans="1:10">
      <c r="A32" s="9">
        <v>44620</v>
      </c>
      <c r="B32" t="str">
        <f t="shared" si="0"/>
        <v>2022-02</v>
      </c>
      <c r="C32" s="2">
        <v>1778974.1744253801</v>
      </c>
      <c r="D32" s="2">
        <v>1616802.5241920904</v>
      </c>
      <c r="E32" s="2">
        <v>396573.44692103763</v>
      </c>
      <c r="F32" s="2">
        <v>770943.7767381795</v>
      </c>
      <c r="G32" s="4">
        <f>((SUM(C32:F32))*1.01)*1.03</f>
        <v>4747194.6673444388</v>
      </c>
      <c r="H32" s="15">
        <f t="shared" si="1"/>
        <v>9.0528327499617561E-2</v>
      </c>
      <c r="I32" s="4">
        <v>1153548.596602709</v>
      </c>
      <c r="J32" s="4">
        <v>889504.63664044009</v>
      </c>
    </row>
    <row r="33" spans="1:10">
      <c r="A33" s="9">
        <v>44651</v>
      </c>
      <c r="B33" t="str">
        <f t="shared" si="0"/>
        <v>2022-03</v>
      </c>
      <c r="C33" s="2">
        <v>1615522.2451016998</v>
      </c>
      <c r="D33" s="2">
        <v>1670418.3740927998</v>
      </c>
      <c r="E33" s="2">
        <v>536614.52544</v>
      </c>
      <c r="F33" s="2">
        <v>745448.84144999995</v>
      </c>
      <c r="G33" s="4">
        <f>((SUM(C33:F33))*1.02)*0.95</f>
        <v>4426395.8625158798</v>
      </c>
      <c r="H33" s="15">
        <f t="shared" si="1"/>
        <v>-6.7576500924916266E-2</v>
      </c>
      <c r="I33" s="4">
        <v>1197545.361785152</v>
      </c>
      <c r="J33" s="4">
        <v>1013786.3289959994</v>
      </c>
    </row>
    <row r="34" spans="1:10">
      <c r="A34" s="9">
        <v>44681</v>
      </c>
      <c r="B34" t="str">
        <f t="shared" si="0"/>
        <v>2022-04</v>
      </c>
      <c r="C34" s="2">
        <v>1798128.8013213</v>
      </c>
      <c r="D34" s="2">
        <v>1946917.6111969501</v>
      </c>
      <c r="E34" s="2">
        <v>515893.07593094773</v>
      </c>
      <c r="F34" s="2">
        <v>855544.51147350413</v>
      </c>
      <c r="G34" s="4">
        <f>((SUM(C34:F34))*0.97)*1.05</f>
        <v>5211138.9539212706</v>
      </c>
      <c r="H34" s="15">
        <f t="shared" si="1"/>
        <v>0.177287146423311</v>
      </c>
      <c r="I34" s="4">
        <v>1262491.1963787689</v>
      </c>
      <c r="J34" s="4">
        <v>1096401.6465030017</v>
      </c>
    </row>
    <row r="35" spans="1:10">
      <c r="A35" s="9">
        <v>44712</v>
      </c>
      <c r="B35" t="str">
        <f t="shared" si="0"/>
        <v>2022-05</v>
      </c>
      <c r="C35" s="2">
        <v>1611068.2717219198</v>
      </c>
      <c r="D35" s="2">
        <v>2080700.91681408</v>
      </c>
      <c r="E35" s="2">
        <v>444482.89071509661</v>
      </c>
      <c r="F35" s="2">
        <v>813024.84936545137</v>
      </c>
      <c r="G35" s="4">
        <f>((SUM(C35:F35))*0.96)*0.99</f>
        <v>4703792.7929571671</v>
      </c>
      <c r="H35" s="15">
        <f t="shared" si="1"/>
        <v>-9.7358018170353389E-2</v>
      </c>
      <c r="I35" s="4">
        <v>1206617.2183390898</v>
      </c>
      <c r="J35" s="4">
        <v>1217524.5653110028</v>
      </c>
    </row>
    <row r="36" spans="1:10">
      <c r="A36" s="9">
        <v>44742</v>
      </c>
      <c r="B36" t="str">
        <f t="shared" si="0"/>
        <v>2022-06</v>
      </c>
      <c r="C36" s="2">
        <v>1990075.0715258508</v>
      </c>
      <c r="D36" s="2">
        <v>2341213.8337962399</v>
      </c>
      <c r="E36" s="2">
        <v>586487.59978048247</v>
      </c>
      <c r="F36" s="2">
        <v>993961.20434348157</v>
      </c>
      <c r="G36" s="4">
        <f>((SUM(C36:F36))*1.03)*1.04</f>
        <v>6332653.4343586145</v>
      </c>
      <c r="H36" s="15">
        <f t="shared" si="1"/>
        <v>0.34628664847658391</v>
      </c>
      <c r="I36" s="4">
        <v>1315295.2893517474</v>
      </c>
      <c r="J36" s="4">
        <v>1212760.480384371</v>
      </c>
    </row>
    <row r="37" spans="1:10">
      <c r="A37" s="9">
        <v>44773</v>
      </c>
      <c r="B37" t="str">
        <f t="shared" si="0"/>
        <v>2022-07</v>
      </c>
      <c r="C37" s="2">
        <v>2031435.9239999999</v>
      </c>
      <c r="D37" s="2">
        <v>2458966.4715</v>
      </c>
      <c r="E37" s="2">
        <v>600946.66800000006</v>
      </c>
      <c r="F37" s="2">
        <v>938855.77800000005</v>
      </c>
      <c r="G37" s="4">
        <f>((SUM(C37:F37))*1.05)*1</f>
        <v>6331715.0835750001</v>
      </c>
      <c r="H37" s="15">
        <f t="shared" si="1"/>
        <v>-1.4817655716374759E-4</v>
      </c>
      <c r="I37" s="4">
        <v>1400883.1894330259</v>
      </c>
      <c r="J37" s="4">
        <v>1262083.82</v>
      </c>
    </row>
    <row r="38" spans="1:10">
      <c r="A38" s="9">
        <v>44804</v>
      </c>
      <c r="B38" t="str">
        <f t="shared" si="0"/>
        <v>2022-08</v>
      </c>
      <c r="C38" s="2">
        <v>2168063.0899200002</v>
      </c>
      <c r="D38" s="2">
        <v>2815219.3742400003</v>
      </c>
      <c r="E38" s="2">
        <v>723349.36127999995</v>
      </c>
      <c r="F38" s="2">
        <v>1111421.4493200001</v>
      </c>
      <c r="G38" s="4">
        <f>((SUM(C38:F38))*1.04)*1.05</f>
        <v>7445314.1760379206</v>
      </c>
      <c r="H38" s="15">
        <f t="shared" si="1"/>
        <v>0.17587637437314418</v>
      </c>
      <c r="I38" s="4">
        <v>1638713.1309119998</v>
      </c>
      <c r="J38" s="4">
        <v>1718913.81</v>
      </c>
    </row>
    <row r="39" spans="1:10">
      <c r="A39" s="9">
        <v>44834</v>
      </c>
      <c r="B39" t="str">
        <f t="shared" si="0"/>
        <v>2022-09</v>
      </c>
      <c r="C39" s="2">
        <v>2310709.5429600002</v>
      </c>
      <c r="D39" s="2">
        <v>2547025.0478400001</v>
      </c>
      <c r="E39" s="2">
        <v>521103.33912000002</v>
      </c>
      <c r="F39" s="2">
        <v>1169597.7383999999</v>
      </c>
      <c r="G39" s="4">
        <f>((SUM(C39:F39))*1.05)*1.04</f>
        <v>7150891.7498054402</v>
      </c>
      <c r="H39" s="15">
        <f t="shared" si="1"/>
        <v>-3.9544661148088654E-2</v>
      </c>
      <c r="I39" s="4">
        <v>1658505.9839040001</v>
      </c>
      <c r="J39" s="4">
        <v>1540224.95</v>
      </c>
    </row>
    <row r="40" spans="1:10">
      <c r="A40" s="9">
        <v>44865</v>
      </c>
      <c r="B40" t="str">
        <f t="shared" si="0"/>
        <v>2022-10</v>
      </c>
      <c r="C40" s="2">
        <v>2049797.9400959997</v>
      </c>
      <c r="D40" s="2">
        <v>2321095.3035840001</v>
      </c>
      <c r="E40" s="2">
        <v>515884.19813664001</v>
      </c>
      <c r="F40" s="2">
        <v>955539.15182222391</v>
      </c>
      <c r="G40" s="4">
        <f>((SUM(C40:F40))*0.96)*1</f>
        <v>5608623.9298933093</v>
      </c>
      <c r="H40" s="15">
        <f t="shared" si="1"/>
        <v>-0.21567489396746814</v>
      </c>
      <c r="I40" s="2">
        <v>1855279.5232597601</v>
      </c>
      <c r="J40" s="2">
        <v>1632279.9267812099</v>
      </c>
    </row>
    <row r="41" spans="1:10">
      <c r="A41" s="9">
        <v>44895</v>
      </c>
      <c r="B41" t="str">
        <f t="shared" si="0"/>
        <v>2022-11</v>
      </c>
      <c r="C41" s="2">
        <v>2417420.636266171</v>
      </c>
      <c r="D41" s="2">
        <v>2661215.9347320599</v>
      </c>
      <c r="E41" s="2">
        <v>513276.26658842957</v>
      </c>
      <c r="F41" s="2">
        <v>1200338.9184976819</v>
      </c>
      <c r="G41" s="4">
        <f>((SUM(C41:F41))*1.03)*1.03</f>
        <v>7205899.888029879</v>
      </c>
      <c r="H41" s="15">
        <f t="shared" si="1"/>
        <v>0.28478927774480933</v>
      </c>
      <c r="I41" s="2">
        <v>1895207.0314721602</v>
      </c>
      <c r="J41" s="2">
        <v>1730696.7014609999</v>
      </c>
    </row>
    <row r="42" spans="1:10">
      <c r="A42" s="9">
        <v>44926</v>
      </c>
      <c r="B42" t="str">
        <f t="shared" si="0"/>
        <v>2022-12</v>
      </c>
      <c r="C42" s="2">
        <v>2355306.3093254399</v>
      </c>
      <c r="D42" s="2">
        <v>2528471.6257996801</v>
      </c>
      <c r="E42" s="2">
        <v>443697.64214368322</v>
      </c>
      <c r="F42" s="2">
        <v>1108960.0675121865</v>
      </c>
      <c r="G42" s="4">
        <f>((SUM(C42:F42))*0.96)*1.02</f>
        <v>6302557.7833695458</v>
      </c>
      <c r="H42" s="15">
        <f t="shared" si="1"/>
        <v>-0.12536145640337371</v>
      </c>
      <c r="I42" s="2">
        <v>1969435.0177046901</v>
      </c>
      <c r="J42" s="2">
        <v>1777246.5813002</v>
      </c>
    </row>
    <row r="43" spans="1:10">
      <c r="A43" s="9">
        <v>44957</v>
      </c>
      <c r="B43" t="str">
        <f t="shared" si="0"/>
        <v>2023-01</v>
      </c>
      <c r="C43" s="2">
        <v>2442768.9938520105</v>
      </c>
      <c r="D43" s="2">
        <v>2631917.7446880001</v>
      </c>
      <c r="E43" s="2">
        <v>573239.17659653397</v>
      </c>
      <c r="F43" s="2">
        <v>1263880.667823747</v>
      </c>
      <c r="G43" s="4">
        <f>((SUM(C43:F43))*1)*1.02</f>
        <v>7050042.7146194968</v>
      </c>
      <c r="H43" s="15">
        <f t="shared" si="1"/>
        <v>0.11860025039712084</v>
      </c>
      <c r="I43" s="2">
        <v>1963655.2162065909</v>
      </c>
      <c r="J43" s="2">
        <v>1740517.55074392</v>
      </c>
    </row>
    <row r="44" spans="1:10">
      <c r="A44" s="9">
        <v>44985</v>
      </c>
      <c r="B44" t="str">
        <f t="shared" si="0"/>
        <v>2023-02</v>
      </c>
      <c r="C44" s="2">
        <v>2347660.2079669205</v>
      </c>
      <c r="D44" s="2">
        <v>2714573.9833390699</v>
      </c>
      <c r="E44" s="2">
        <v>606994.98967930337</v>
      </c>
      <c r="F44" s="2">
        <v>1195363.6423976561</v>
      </c>
      <c r="G44" s="4">
        <f>((SUM(C44:F44))*0.97)*1.01</f>
        <v>6725241.5890682749</v>
      </c>
      <c r="H44" s="15">
        <f t="shared" si="1"/>
        <v>-4.6070802504173475E-2</v>
      </c>
      <c r="I44" s="2">
        <v>1922557.6346350501</v>
      </c>
      <c r="J44" s="2">
        <v>1792651.12073752</v>
      </c>
    </row>
    <row r="45" spans="1:10">
      <c r="A45" s="9">
        <v>45016</v>
      </c>
      <c r="B45" t="str">
        <f t="shared" si="0"/>
        <v>2023-03</v>
      </c>
      <c r="C45" s="2">
        <v>2453876.6085150074</v>
      </c>
      <c r="D45" s="2">
        <v>2615186.0571940001</v>
      </c>
      <c r="E45" s="2">
        <v>492138.69805254799</v>
      </c>
      <c r="F45" s="2">
        <v>1171539.2117649645</v>
      </c>
      <c r="G45" s="4">
        <f>((SUM(C45:F45))*1)*0.97</f>
        <v>6530758.3582607238</v>
      </c>
      <c r="H45" s="15">
        <f t="shared" si="1"/>
        <v>-2.8918400659937508E-2</v>
      </c>
      <c r="I45" s="2">
        <v>1917403.8623183998</v>
      </c>
      <c r="J45" s="2">
        <v>1760042.4809000001</v>
      </c>
    </row>
    <row r="46" spans="1:10">
      <c r="A46" s="9">
        <v>45046</v>
      </c>
      <c r="B46" t="str">
        <f t="shared" si="0"/>
        <v>2023-04</v>
      </c>
      <c r="C46" s="2">
        <v>2487054.3219648101</v>
      </c>
      <c r="D46" s="2">
        <v>2770887.4948943998</v>
      </c>
      <c r="E46" s="2">
        <v>534681.75365236797</v>
      </c>
      <c r="F46" s="2">
        <v>1134509.4517434551</v>
      </c>
      <c r="G46" s="4">
        <f>((SUM(C46:F46))*1.05)*0.96</f>
        <v>6982550.0864330735</v>
      </c>
      <c r="H46" s="15">
        <f t="shared" si="1"/>
        <v>6.9179060591160996E-2</v>
      </c>
      <c r="I46" s="2">
        <v>2240587.4850595645</v>
      </c>
      <c r="J46" s="2">
        <v>1805200.1468</v>
      </c>
    </row>
    <row r="47" spans="1:10">
      <c r="A47" s="9">
        <v>45077</v>
      </c>
      <c r="B47" t="str">
        <f t="shared" si="0"/>
        <v>2023-05</v>
      </c>
      <c r="C47" s="2">
        <v>2402327.9985742895</v>
      </c>
      <c r="D47" s="2">
        <v>2695147.8263242398</v>
      </c>
      <c r="E47" s="2">
        <v>458684.33502542868</v>
      </c>
      <c r="F47" s="2">
        <v>1010320.3119908369</v>
      </c>
      <c r="G47" s="4">
        <f>((SUM(C47:F47))*0.98)*0.98</f>
        <v>6306447.8452269686</v>
      </c>
      <c r="H47" s="15">
        <f t="shared" si="1"/>
        <v>-9.6827410163480995E-2</v>
      </c>
      <c r="I47" s="2">
        <v>2021052.3842286186</v>
      </c>
      <c r="J47" s="2">
        <v>1791667.0186000001</v>
      </c>
    </row>
    <row r="48" spans="1:10">
      <c r="A48" s="9">
        <v>45107</v>
      </c>
      <c r="B48" t="str">
        <f t="shared" si="0"/>
        <v>2023-06</v>
      </c>
      <c r="C48" s="2">
        <v>2558811.7402556902</v>
      </c>
      <c r="D48" s="2">
        <v>2851456.4503297601</v>
      </c>
      <c r="E48" s="2">
        <v>644611.65002257284</v>
      </c>
      <c r="F48" s="2">
        <v>1079503.5108249611</v>
      </c>
      <c r="G48" s="4">
        <f>((SUM(C48:F48))*1.04)*0.98</f>
        <v>7271363.5117804985</v>
      </c>
      <c r="H48" s="15">
        <f t="shared" si="1"/>
        <v>0.15300462165620315</v>
      </c>
      <c r="I48" s="2">
        <v>2013507.4061758199</v>
      </c>
      <c r="J48" s="2">
        <v>1817384.6946</v>
      </c>
    </row>
    <row r="49" spans="1:10">
      <c r="A49" s="9">
        <v>45138</v>
      </c>
      <c r="B49" t="str">
        <f t="shared" si="0"/>
        <v>2023-07</v>
      </c>
      <c r="C49" s="2">
        <v>2309762.9063735087</v>
      </c>
      <c r="D49" s="2">
        <v>2546170.0819570497</v>
      </c>
      <c r="E49" s="2">
        <v>561603.60512318637</v>
      </c>
      <c r="F49" s="2">
        <v>916533.66732272622</v>
      </c>
      <c r="G49" s="4">
        <f>((SUM(C49:F49))*0.97)*0.95</f>
        <v>5836845.7453055168</v>
      </c>
      <c r="H49" s="15">
        <f t="shared" si="1"/>
        <v>-0.19728318686734442</v>
      </c>
      <c r="I49" s="2">
        <v>1899114.0946455093</v>
      </c>
      <c r="J49" s="2">
        <v>1876424.82930033</v>
      </c>
    </row>
    <row r="50" spans="1:10">
      <c r="A50" s="9">
        <v>45169</v>
      </c>
      <c r="B50" t="str">
        <f t="shared" si="0"/>
        <v>2023-08</v>
      </c>
      <c r="C50" s="2">
        <v>2349519.5892920094</v>
      </c>
      <c r="D50" s="2">
        <v>2731034.0988699999</v>
      </c>
      <c r="E50" s="2">
        <v>544814.99164926203</v>
      </c>
      <c r="F50" s="2">
        <v>976937.60465298954</v>
      </c>
      <c r="G50" s="4">
        <f>((SUM(C50:F50))*0.97)*1</f>
        <v>6404237.0959303323</v>
      </c>
      <c r="H50" s="15">
        <f t="shared" si="1"/>
        <v>9.7208556707389343E-2</v>
      </c>
      <c r="I50" s="2">
        <v>1962918.3628807999</v>
      </c>
      <c r="J50" s="2">
        <v>1840383.12660033</v>
      </c>
    </row>
    <row r="51" spans="1:10">
      <c r="A51" s="9">
        <v>45199</v>
      </c>
      <c r="B51" t="str">
        <f t="shared" si="0"/>
        <v>2023-09</v>
      </c>
      <c r="C51" s="2">
        <v>2370244.1784378099</v>
      </c>
      <c r="D51" s="2">
        <v>2731954.6330591203</v>
      </c>
      <c r="E51" s="2">
        <v>559428.40602022922</v>
      </c>
      <c r="F51" s="2">
        <v>1013314.9247435865</v>
      </c>
      <c r="G51" s="4">
        <f>((SUM(C51:F51))*1.02)*0.98</f>
        <v>6672272.165403842</v>
      </c>
      <c r="H51" s="15">
        <f t="shared" si="1"/>
        <v>4.1852771135509108E-2</v>
      </c>
      <c r="I51" s="2">
        <v>2084402.0865530323</v>
      </c>
      <c r="J51" s="2">
        <v>1713557.93510033</v>
      </c>
    </row>
    <row r="52" spans="1:10">
      <c r="A52" s="9">
        <v>45230</v>
      </c>
      <c r="B52" t="str">
        <f t="shared" si="0"/>
        <v>2023-10</v>
      </c>
      <c r="C52" s="2">
        <v>2395408.8776042988</v>
      </c>
      <c r="D52" s="2">
        <v>2851066.4096124</v>
      </c>
      <c r="E52" s="2">
        <v>451032.54510913428</v>
      </c>
      <c r="F52" s="2">
        <v>1032720.9469644834</v>
      </c>
      <c r="G52" s="4">
        <f>((SUM(C52:F52))*1.05)*0.98</f>
        <v>6925405.4138897359</v>
      </c>
      <c r="H52" s="15">
        <f t="shared" si="1"/>
        <v>3.7938087987238592E-2</v>
      </c>
      <c r="I52" s="2">
        <v>1758571.5447037036</v>
      </c>
      <c r="J52" s="2">
        <v>1753147.9931999999</v>
      </c>
    </row>
    <row r="53" spans="1:10">
      <c r="A53" s="9">
        <v>45260</v>
      </c>
      <c r="B53" t="str">
        <f t="shared" si="0"/>
        <v>2023-11</v>
      </c>
      <c r="C53" s="2">
        <v>2334269.941140125</v>
      </c>
      <c r="D53" s="2">
        <v>2615285.0711737801</v>
      </c>
      <c r="E53" s="2">
        <v>527498.02715124749</v>
      </c>
      <c r="F53" s="2">
        <v>1030286.2025850812</v>
      </c>
      <c r="G53" s="4">
        <f>((SUM(C53:F53))*1.01)*1.02</f>
        <v>6703860.8871601513</v>
      </c>
      <c r="H53" s="15">
        <f t="shared" si="1"/>
        <v>-3.1990116605339868E-2</v>
      </c>
      <c r="I53" s="2">
        <v>1924418.3815662365</v>
      </c>
      <c r="J53" s="2">
        <v>1667753.4387999999</v>
      </c>
    </row>
    <row r="54" spans="1:10">
      <c r="A54" s="9">
        <v>45291</v>
      </c>
      <c r="B54" t="str">
        <f t="shared" si="0"/>
        <v>2023-12</v>
      </c>
      <c r="C54" s="2">
        <v>2325630.7406335301</v>
      </c>
      <c r="D54" s="2">
        <v>2537816.1143819997</v>
      </c>
      <c r="E54" s="2">
        <v>604998.00952633074</v>
      </c>
      <c r="F54" s="2">
        <v>973972.24102025479</v>
      </c>
      <c r="G54" s="4">
        <f>((SUM(C54:F54))*1)*1.02</f>
        <v>6571265.4476733571</v>
      </c>
      <c r="H54" s="15">
        <f t="shared" si="1"/>
        <v>-1.9778966437199362E-2</v>
      </c>
      <c r="I54" s="2">
        <v>1854341.4618667322</v>
      </c>
      <c r="J54" s="2">
        <v>1636841.7346999999</v>
      </c>
    </row>
    <row r="55" spans="1:10">
      <c r="A55" s="9">
        <v>45322</v>
      </c>
      <c r="B55" t="str">
        <f t="shared" si="0"/>
        <v>2024-01</v>
      </c>
      <c r="C55" s="2">
        <v>2375253.5770822018</v>
      </c>
      <c r="D55" s="2">
        <v>2501002.3034860003</v>
      </c>
      <c r="E55" s="2">
        <v>524359.69084885938</v>
      </c>
      <c r="F55" s="2">
        <v>1007835.6683556597</v>
      </c>
      <c r="G55" s="4">
        <f>((SUM(C55:F55))*1.03)*1.03</f>
        <v>6798725.9202748807</v>
      </c>
      <c r="H55" s="15">
        <f t="shared" si="1"/>
        <v>3.4614409418213199E-2</v>
      </c>
      <c r="I55" s="2">
        <v>1873866.268031738</v>
      </c>
      <c r="J55" s="2">
        <v>1597847.2571</v>
      </c>
    </row>
    <row r="56" spans="1:10">
      <c r="A56" s="9">
        <v>45351</v>
      </c>
      <c r="B56" t="str">
        <f t="shared" si="0"/>
        <v>2024-02</v>
      </c>
      <c r="C56" s="2">
        <v>2210049.1391035169</v>
      </c>
      <c r="D56" s="2">
        <v>2258449.6971286801</v>
      </c>
      <c r="E56" s="2">
        <v>598442.92134280433</v>
      </c>
      <c r="F56" s="2">
        <v>977038.73777463951</v>
      </c>
      <c r="G56" s="4">
        <f>((SUM(C56:F56))*1.02)*0.99</f>
        <v>6103211.5042040665</v>
      </c>
      <c r="H56" s="15">
        <f t="shared" si="1"/>
        <v>-0.10230069931142242</v>
      </c>
      <c r="I56" s="2">
        <v>1998273.7599771451</v>
      </c>
      <c r="J56" s="2">
        <v>1539307.0024000001</v>
      </c>
    </row>
    <row r="57" spans="1:10">
      <c r="A57" s="9">
        <v>45382</v>
      </c>
      <c r="B57" t="str">
        <f t="shared" si="0"/>
        <v>2024-03</v>
      </c>
      <c r="C57" s="2">
        <v>2249892.5150150103</v>
      </c>
      <c r="D57" s="2">
        <v>2330574.842036</v>
      </c>
      <c r="E57" s="2">
        <v>582137.52247281454</v>
      </c>
      <c r="F57" s="2">
        <v>974498.88257369446</v>
      </c>
      <c r="G57" s="4">
        <f>((SUM(C57:F57))*1.01)*1</f>
        <v>6198474.7997184945</v>
      </c>
      <c r="H57" s="15">
        <f t="shared" si="1"/>
        <v>1.5608716074939886E-2</v>
      </c>
      <c r="I57" s="2">
        <v>1929883.3586298386</v>
      </c>
      <c r="J57" s="2">
        <v>1551319.1096999999</v>
      </c>
    </row>
    <row r="58" spans="1:10">
      <c r="A58" s="9">
        <v>45412</v>
      </c>
      <c r="B58" t="str">
        <f t="shared" si="0"/>
        <v>2024-04</v>
      </c>
      <c r="C58" s="2">
        <v>2172288.2471264987</v>
      </c>
      <c r="D58" s="2">
        <v>2397524.1897881399</v>
      </c>
      <c r="E58" s="2">
        <v>517223.97088885389</v>
      </c>
      <c r="F58" s="2">
        <v>865857.34152729611</v>
      </c>
      <c r="G58" s="4">
        <f>((SUM(C58:F58))*1.02)*0.97</f>
        <v>5889793.0755878827</v>
      </c>
      <c r="H58" s="15">
        <f t="shared" si="1"/>
        <v>-4.9799625569927418E-2</v>
      </c>
      <c r="I58" s="2">
        <v>1863082.5988848847</v>
      </c>
      <c r="J58" s="2">
        <v>1550912.7538999999</v>
      </c>
    </row>
    <row r="59" spans="1:10">
      <c r="A59" s="9">
        <v>45443</v>
      </c>
      <c r="B59" t="str">
        <f t="shared" si="0"/>
        <v>2024-05</v>
      </c>
      <c r="C59" s="2">
        <v>2399376.7350000003</v>
      </c>
      <c r="D59" s="2">
        <v>2512595.8829999999</v>
      </c>
      <c r="E59" s="2">
        <v>512031.28200000006</v>
      </c>
      <c r="F59" s="2">
        <v>897807.29850000003</v>
      </c>
      <c r="G59" s="4">
        <f>((SUM(C59:F59))*1.05)*1</f>
        <v>6637901.7584250001</v>
      </c>
      <c r="H59" s="15">
        <f t="shared" si="1"/>
        <v>0.12701782103990911</v>
      </c>
      <c r="I59" s="2">
        <v>1732550.4567549999</v>
      </c>
      <c r="J59" s="2">
        <v>1522531.71</v>
      </c>
    </row>
    <row r="60" spans="1:10">
      <c r="A60" s="9">
        <v>45473</v>
      </c>
      <c r="B60" t="str">
        <f t="shared" si="0"/>
        <v>2024-06</v>
      </c>
      <c r="C60" s="2">
        <v>2182144.9842316895</v>
      </c>
      <c r="D60" s="2">
        <v>2270628.155328</v>
      </c>
      <c r="E60" s="2">
        <v>536858.28784396802</v>
      </c>
      <c r="F60" s="2">
        <v>750909.8428582924</v>
      </c>
      <c r="G60" s="4">
        <f>((SUM(C60:F60))*0.96)*1</f>
        <v>5510919.6194514716</v>
      </c>
      <c r="H60" s="15">
        <f t="shared" si="1"/>
        <v>-0.1697798762301857</v>
      </c>
      <c r="I60" s="2">
        <v>1992888.6828698432</v>
      </c>
      <c r="J60" s="2">
        <v>1494034.8406</v>
      </c>
    </row>
    <row r="61" spans="1:10">
      <c r="A61" s="9">
        <v>45504</v>
      </c>
      <c r="B61" t="str">
        <f t="shared" si="0"/>
        <v>2024-07</v>
      </c>
      <c r="C61" s="2">
        <v>2356216.7272162163</v>
      </c>
      <c r="D61" s="2">
        <v>2351628.6295174402</v>
      </c>
      <c r="E61" s="2">
        <v>576610.60841620574</v>
      </c>
      <c r="F61" s="2">
        <v>804956.54013855348</v>
      </c>
      <c r="G61" s="4">
        <f>((SUM(C61:F61))*1.04)*0.98</f>
        <v>6206329.2253899546</v>
      </c>
      <c r="H61" s="15">
        <f t="shared" si="1"/>
        <v>0.12618757919893242</v>
      </c>
      <c r="I61" s="2">
        <v>1996447.7660042688</v>
      </c>
      <c r="J61" s="2">
        <v>1502652.7829</v>
      </c>
    </row>
    <row r="62" spans="1:10">
      <c r="A62" s="9">
        <v>45535</v>
      </c>
      <c r="B62" t="str">
        <f t="shared" si="0"/>
        <v>2024-08</v>
      </c>
      <c r="C62" s="2">
        <v>2471512.0863425517</v>
      </c>
      <c r="D62" s="2">
        <v>2410557.2368956003</v>
      </c>
      <c r="E62" s="2">
        <v>646787.33867062349</v>
      </c>
      <c r="F62" s="2">
        <v>680378.1681715009</v>
      </c>
      <c r="G62" s="4">
        <f>((SUM(C62:F62))*1.04)*1.01</f>
        <v>6522180.2655163221</v>
      </c>
      <c r="H62" s="15">
        <f t="shared" si="1"/>
        <v>5.0891763658657989E-2</v>
      </c>
      <c r="I62" s="2">
        <v>2018521.9835459292</v>
      </c>
      <c r="J62" s="2">
        <v>1478697.8628</v>
      </c>
    </row>
    <row r="63" spans="1:10">
      <c r="A63" s="9">
        <v>45565</v>
      </c>
      <c r="B63" t="str">
        <f t="shared" si="0"/>
        <v>2024-09</v>
      </c>
      <c r="C63" s="2">
        <v>2562113.0243873643</v>
      </c>
      <c r="D63" s="2">
        <v>2382505.3949360996</v>
      </c>
      <c r="E63" s="2">
        <v>698676.05473522621</v>
      </c>
      <c r="F63" s="2">
        <v>822201.72224525188</v>
      </c>
      <c r="G63" s="4">
        <f>((SUM(C63:F63))*1.05)*1.01</f>
        <v>6856658.7161803311</v>
      </c>
      <c r="H63" s="15">
        <f t="shared" si="1"/>
        <v>5.1283226934472091E-2</v>
      </c>
      <c r="I63" s="2">
        <v>1982559.763067686</v>
      </c>
      <c r="J63" s="2">
        <v>1405294.08329999</v>
      </c>
    </row>
    <row r="64" spans="1:10">
      <c r="A64" s="9">
        <v>45596</v>
      </c>
      <c r="B64" t="str">
        <f t="shared" si="0"/>
        <v>2024-10</v>
      </c>
      <c r="C64" s="2">
        <v>2217089.2889928785</v>
      </c>
      <c r="D64" s="2">
        <v>2348583.11473076</v>
      </c>
      <c r="E64" s="2">
        <v>567386.4359349272</v>
      </c>
      <c r="F64" s="2">
        <v>695894.51066609868</v>
      </c>
      <c r="G64" s="4">
        <f>((SUM(C64:F64))*1.03)*0.97</f>
        <v>5823707.2923093727</v>
      </c>
      <c r="H64" s="15">
        <f t="shared" si="1"/>
        <v>-0.15064938574723014</v>
      </c>
      <c r="I64" s="2">
        <v>1977750.3751560026</v>
      </c>
      <c r="J64" s="2">
        <v>1456710.0949035001</v>
      </c>
    </row>
    <row r="65" spans="1:10">
      <c r="A65" s="9">
        <v>45626</v>
      </c>
      <c r="B65" t="str">
        <f t="shared" si="0"/>
        <v>2024-11</v>
      </c>
      <c r="C65" s="2">
        <v>2231186.0306897797</v>
      </c>
      <c r="D65" s="2">
        <v>2243561.099769</v>
      </c>
      <c r="E65" s="2">
        <v>575016.38663507777</v>
      </c>
      <c r="F65" s="2">
        <v>721013.54828311224</v>
      </c>
      <c r="G65" s="4">
        <f>((SUM(C65:F65))*1)*0.99</f>
        <v>5713069.2947232006</v>
      </c>
      <c r="H65" s="15">
        <f t="shared" si="1"/>
        <v>-1.8997863737464548E-2</v>
      </c>
      <c r="I65" s="2">
        <v>2033228.2584992764</v>
      </c>
      <c r="J65" s="2">
        <v>1453511.3685999999</v>
      </c>
    </row>
    <row r="66" spans="1:10">
      <c r="A66" s="9">
        <v>45657</v>
      </c>
      <c r="B66" t="str">
        <f t="shared" si="0"/>
        <v>2024-12</v>
      </c>
      <c r="C66" s="2">
        <v>2155702.7025096193</v>
      </c>
      <c r="D66" s="2">
        <v>2237372.10751</v>
      </c>
      <c r="E66" s="2">
        <v>530065.1129023449</v>
      </c>
      <c r="F66" s="2">
        <v>710114.85763132886</v>
      </c>
      <c r="G66" s="4">
        <f>((SUM(C66:F66))*0.97)*1</f>
        <v>5464257.137136694</v>
      </c>
      <c r="H66" s="15">
        <f t="shared" si="1"/>
        <v>-4.3551398512935692E-2</v>
      </c>
      <c r="I66" s="2">
        <v>1928578.0041939721</v>
      </c>
      <c r="J66" s="2">
        <v>1456609.8214</v>
      </c>
    </row>
    <row r="67" spans="1:10">
      <c r="A67" s="9">
        <v>45688</v>
      </c>
      <c r="B67" t="str">
        <f t="shared" si="0"/>
        <v>2025-01</v>
      </c>
      <c r="C67" s="2">
        <v>2287632.7659995644</v>
      </c>
      <c r="D67" s="2">
        <v>2399630.7146308203</v>
      </c>
      <c r="E67" s="2">
        <v>587785.8973538205</v>
      </c>
      <c r="F67" s="2">
        <v>822407.07153875695</v>
      </c>
      <c r="G67" s="4">
        <f>((SUM(C67:F67))*1.03)*1.02</f>
        <v>6405987.7458688244</v>
      </c>
      <c r="H67" s="15">
        <f t="shared" si="1"/>
        <v>0.17234375782425262</v>
      </c>
      <c r="I67" s="2">
        <v>1766055.6215463125</v>
      </c>
      <c r="J67" s="2">
        <v>1493848.5412000001</v>
      </c>
    </row>
    <row r="68" spans="1:10">
      <c r="A68" s="9">
        <v>45716</v>
      </c>
      <c r="B68" t="str">
        <f t="shared" ref="B68:B86" si="2">TEXT(A68, "yyyy-mm")</f>
        <v>2025-02</v>
      </c>
      <c r="C68" s="2">
        <v>2126345.2669482147</v>
      </c>
      <c r="D68" s="2">
        <v>2283092.75810879</v>
      </c>
      <c r="E68" s="2">
        <v>484508.17260237451</v>
      </c>
      <c r="F68" s="2">
        <v>724843.20345538098</v>
      </c>
      <c r="G68" s="4">
        <f>((SUM(C68:F68))*0.96)*1.02</f>
        <v>5501918.5815715734</v>
      </c>
      <c r="H68" s="15">
        <f t="shared" si="1"/>
        <v>-0.1411287689209644</v>
      </c>
      <c r="I68" s="2">
        <v>1851613.2523503497</v>
      </c>
      <c r="J68" s="2">
        <v>1538659.66493894</v>
      </c>
    </row>
    <row r="69" spans="1:10">
      <c r="A69" s="9">
        <v>45747</v>
      </c>
      <c r="B69" t="str">
        <f t="shared" si="2"/>
        <v>2025-03</v>
      </c>
      <c r="C69" s="2">
        <v>1928492.6337017885</v>
      </c>
      <c r="D69" s="2">
        <v>2103641.1475324701</v>
      </c>
      <c r="E69" s="2">
        <v>555143.61275076855</v>
      </c>
      <c r="F69" s="2">
        <v>656265.59356577962</v>
      </c>
      <c r="G69" s="4">
        <f>((SUM(C69:F69))*0.97)*0.97</f>
        <v>4933649.5969865536</v>
      </c>
      <c r="H69" s="15">
        <f t="shared" ref="H69:H86" si="3">(G69-G68)/G68</f>
        <v>-0.10328560413242227</v>
      </c>
      <c r="I69" s="2">
        <v>1613402.3557486716</v>
      </c>
      <c r="J69" s="2">
        <v>1475191.6063000001</v>
      </c>
    </row>
    <row r="70" spans="1:10">
      <c r="A70" s="9">
        <v>45777</v>
      </c>
      <c r="B70" t="str">
        <f t="shared" si="2"/>
        <v>2025-04</v>
      </c>
      <c r="C70" s="2">
        <v>2202909.7072371589</v>
      </c>
      <c r="D70" s="2">
        <v>2357532.8635403998</v>
      </c>
      <c r="E70" s="2">
        <v>663526.91402258794</v>
      </c>
      <c r="F70" s="2">
        <v>767068.58257727011</v>
      </c>
      <c r="G70" s="4">
        <f>((SUM(C70:F70))*1.05)*1.04</f>
        <v>6542213.5695761396</v>
      </c>
      <c r="H70" s="15">
        <f t="shared" si="3"/>
        <v>0.32603936314652099</v>
      </c>
      <c r="I70" s="2">
        <v>1664699.0819659375</v>
      </c>
      <c r="J70" s="2">
        <v>1462930.5504999999</v>
      </c>
    </row>
    <row r="71" spans="1:10">
      <c r="A71" s="9">
        <v>45808</v>
      </c>
      <c r="B71" t="str">
        <f t="shared" si="2"/>
        <v>2025-05</v>
      </c>
      <c r="C71" s="2">
        <v>2020835.9081178773</v>
      </c>
      <c r="D71" s="2">
        <v>2205755.7871199399</v>
      </c>
      <c r="E71" s="2">
        <v>591605.76229435392</v>
      </c>
      <c r="F71" s="2">
        <v>727664.46618150442</v>
      </c>
      <c r="G71" s="4">
        <f>((SUM(C71:F71))*0.99)*1.02</f>
        <v>5600211.3705660691</v>
      </c>
      <c r="H71" s="15">
        <f t="shared" si="3"/>
        <v>-0.1439882983017782</v>
      </c>
      <c r="I71" s="2">
        <v>1720083.6840002688</v>
      </c>
      <c r="J71" s="2">
        <v>1489428.0608000001</v>
      </c>
    </row>
    <row r="72" spans="1:10">
      <c r="A72" s="9">
        <v>45838</v>
      </c>
      <c r="B72" t="str">
        <f t="shared" si="2"/>
        <v>2025-06</v>
      </c>
      <c r="C72" s="2">
        <v>2022797.9431167874</v>
      </c>
      <c r="D72" s="2">
        <v>2242374.8778704</v>
      </c>
      <c r="E72" s="2">
        <v>687457.27128788491</v>
      </c>
      <c r="F72" s="2">
        <v>741724.20213378023</v>
      </c>
      <c r="G72" s="4">
        <f>((SUM(C72:F72))*1.04)*0.98</f>
        <v>5803685.896861502</v>
      </c>
      <c r="H72" s="15">
        <f t="shared" si="3"/>
        <v>3.6333365444894919E-2</v>
      </c>
      <c r="I72" s="2">
        <v>1651614.6916090834</v>
      </c>
      <c r="J72" s="2">
        <v>1459765.2984</v>
      </c>
    </row>
    <row r="73" spans="1:10">
      <c r="A73" s="9">
        <v>45869</v>
      </c>
      <c r="B73" t="str">
        <f t="shared" si="2"/>
        <v>2025-07</v>
      </c>
      <c r="C73" s="2">
        <v>1910183.5755414439</v>
      </c>
      <c r="D73" s="2">
        <v>2061608.3033364001</v>
      </c>
      <c r="E73" s="2">
        <v>523622.15938951861</v>
      </c>
      <c r="F73" s="2">
        <v>604664.37879373226</v>
      </c>
      <c r="G73" s="2">
        <f>((SUM(C73:F73))*0.98)*0.95</f>
        <v>4748173.0062838783</v>
      </c>
      <c r="H73" s="15">
        <f t="shared" si="3"/>
        <v>-0.18186940322673567</v>
      </c>
      <c r="I73" s="2">
        <v>1747432.446246115</v>
      </c>
      <c r="J73" s="2">
        <v>1437953.1041999999</v>
      </c>
    </row>
    <row r="74" spans="1:10">
      <c r="A74" s="9">
        <v>45900</v>
      </c>
      <c r="B74" t="str">
        <f t="shared" si="2"/>
        <v>2025-08</v>
      </c>
      <c r="C74" s="2">
        <v>1951307.0970606559</v>
      </c>
      <c r="D74" s="2">
        <v>2076977.7171812803</v>
      </c>
      <c r="E74" s="2">
        <v>458987.59956917603</v>
      </c>
      <c r="F74" s="2">
        <v>630719.39956085093</v>
      </c>
      <c r="G74" s="2">
        <f>((SUM(C74:F74))*0.97)*0.97</f>
        <v>4815518.4972016802</v>
      </c>
      <c r="H74" s="15">
        <f t="shared" si="3"/>
        <v>1.4183453473299048E-2</v>
      </c>
      <c r="I74" s="2">
        <v>1968110.0315665943</v>
      </c>
      <c r="J74" s="2">
        <v>1419949.6047</v>
      </c>
    </row>
    <row r="75" spans="1:10">
      <c r="A75" s="9">
        <v>45930</v>
      </c>
      <c r="B75" t="str">
        <f t="shared" si="2"/>
        <v>2025-09</v>
      </c>
      <c r="C75" s="2">
        <v>2086971.5014406801</v>
      </c>
      <c r="D75" s="2">
        <v>2127515.6706909998</v>
      </c>
      <c r="E75" s="2">
        <v>531966.1561240172</v>
      </c>
      <c r="F75" s="2">
        <v>713221.76569109794</v>
      </c>
      <c r="G75" s="2">
        <f>((SUM(C75:F75))*1.01)*1</f>
        <v>5514271.8448862629</v>
      </c>
      <c r="H75" s="15">
        <f t="shared" si="3"/>
        <v>0.14510448835169701</v>
      </c>
      <c r="I75" s="2">
        <v>1798263.1421105333</v>
      </c>
      <c r="J75" s="2">
        <v>1443758.5160999999</v>
      </c>
    </row>
    <row r="76" spans="1:10">
      <c r="A76" s="9">
        <v>45961</v>
      </c>
      <c r="B76" t="str">
        <f t="shared" si="2"/>
        <v>2025-10</v>
      </c>
      <c r="C76" s="2">
        <v>1982146.83116869</v>
      </c>
      <c r="D76" s="2">
        <v>2009676.3756300001</v>
      </c>
      <c r="E76" s="2">
        <v>514359.97650582041</v>
      </c>
      <c r="F76" s="2">
        <v>687116.43277207913</v>
      </c>
      <c r="G76" s="2">
        <f>((SUM(C76:F76))*0.99)*1</f>
        <v>5141366.6199158244</v>
      </c>
      <c r="H76" s="15">
        <f t="shared" si="3"/>
        <v>-6.7625469955068934E-2</v>
      </c>
      <c r="I76" s="2">
        <v>1819929.8175492093</v>
      </c>
      <c r="J76" s="2">
        <v>1401440.8048</v>
      </c>
    </row>
    <row r="77" spans="1:10">
      <c r="A77" s="9">
        <v>45991</v>
      </c>
      <c r="B77" t="str">
        <f t="shared" si="2"/>
        <v>2025-11</v>
      </c>
      <c r="C77" s="2">
        <v>1939256.0518875937</v>
      </c>
      <c r="D77" s="2">
        <v>1971861.33667392</v>
      </c>
      <c r="E77" s="5">
        <v>637877.52604585036</v>
      </c>
      <c r="F77" s="2">
        <v>686784.94330282975</v>
      </c>
      <c r="G77" s="2">
        <f>((SUM(C77:F77))*0.96)*1.02</f>
        <v>5126875.6368656615</v>
      </c>
      <c r="H77" s="15">
        <f t="shared" si="3"/>
        <v>-2.8185080196440363E-3</v>
      </c>
      <c r="I77" s="2">
        <v>1835082.99624</v>
      </c>
      <c r="J77" s="2">
        <v>1387565.9586</v>
      </c>
    </row>
    <row r="78" spans="1:10">
      <c r="A78" s="9">
        <v>46022</v>
      </c>
      <c r="B78" t="str">
        <f t="shared" si="2"/>
        <v>2025-12</v>
      </c>
      <c r="C78" s="2">
        <v>2100660.3201373233</v>
      </c>
      <c r="D78" s="2">
        <v>2071552.5045925607</v>
      </c>
      <c r="E78" s="2">
        <v>680394.6545823036</v>
      </c>
      <c r="F78" s="2">
        <v>793254.40753065597</v>
      </c>
      <c r="G78" s="2">
        <f>((SUM(C78:F78))*1.05)*1.01</f>
        <v>5987436.5309968367</v>
      </c>
      <c r="H78" s="15">
        <f t="shared" si="3"/>
        <v>0.16785289035356493</v>
      </c>
      <c r="I78" s="2">
        <v>1759707.3000720399</v>
      </c>
      <c r="J78" s="2">
        <v>1385743.4210999999</v>
      </c>
    </row>
    <row r="79" spans="1:10">
      <c r="A79" s="9">
        <v>46053</v>
      </c>
      <c r="B79" t="str">
        <f t="shared" si="2"/>
        <v>2026-01</v>
      </c>
      <c r="C79" s="2">
        <v>1950605.2897464579</v>
      </c>
      <c r="D79" s="2">
        <v>1787840.9529294099</v>
      </c>
      <c r="E79" s="2">
        <v>641186.8404886988</v>
      </c>
      <c r="F79" s="2">
        <v>809337.85584229848</v>
      </c>
      <c r="G79" s="2">
        <f>((SUM(C79:F79))*0.97)*1.02</f>
        <v>5133967.8470533928</v>
      </c>
      <c r="H79" s="15">
        <f t="shared" si="3"/>
        <v>-0.14254325361530831</v>
      </c>
      <c r="I79" s="2">
        <v>1814442.3438248341</v>
      </c>
      <c r="J79" s="2">
        <v>1379076.2224999999</v>
      </c>
    </row>
    <row r="80" spans="1:10">
      <c r="A80" s="9">
        <v>46081</v>
      </c>
      <c r="B80" t="str">
        <f t="shared" si="2"/>
        <v>2026-02</v>
      </c>
      <c r="C80" s="2">
        <v>1915435.1035714846</v>
      </c>
      <c r="D80" s="2">
        <v>1835430.8348851295</v>
      </c>
      <c r="E80" s="2">
        <v>676426.97910147882</v>
      </c>
      <c r="F80" s="2">
        <v>746809.07921287138</v>
      </c>
      <c r="G80" s="2">
        <f>((SUM(C80:F80))*0.99)*0.96</f>
        <v>4917466.5377311241</v>
      </c>
      <c r="H80" s="15">
        <f t="shared" si="3"/>
        <v>-4.2170367203707405E-2</v>
      </c>
      <c r="I80" s="2">
        <v>1839650.6849458504</v>
      </c>
      <c r="J80" s="2">
        <v>1380338.3163000001</v>
      </c>
    </row>
    <row r="81" spans="1:10">
      <c r="A81" s="9">
        <v>46112</v>
      </c>
      <c r="B81" t="str">
        <f t="shared" si="2"/>
        <v>2026-03</v>
      </c>
      <c r="C81" s="2">
        <v>2089341.0207009958</v>
      </c>
      <c r="D81" s="2">
        <v>2141411.9413926303</v>
      </c>
      <c r="E81" s="2">
        <v>593229.16751211311</v>
      </c>
      <c r="F81" s="2">
        <v>791524.79454773257</v>
      </c>
      <c r="G81" s="2">
        <f>((SUM(C81:F81))*1.01)*1.01</f>
        <v>5728378.613328957</v>
      </c>
      <c r="H81" s="15">
        <f t="shared" si="3"/>
        <v>0.16490444202839064</v>
      </c>
      <c r="I81" s="2">
        <v>1894466.1990488211</v>
      </c>
      <c r="J81" s="2">
        <v>1399818.3811000001</v>
      </c>
    </row>
    <row r="82" spans="1:10">
      <c r="A82" s="9">
        <v>46142</v>
      </c>
      <c r="B82" t="str">
        <f t="shared" si="2"/>
        <v>2026-04</v>
      </c>
      <c r="C82" s="2">
        <v>2146735.7206488857</v>
      </c>
      <c r="D82" s="2">
        <v>2192983.1452342602</v>
      </c>
      <c r="E82" s="2">
        <v>567301.53135882679</v>
      </c>
      <c r="F82" s="2">
        <v>775017.16894402227</v>
      </c>
      <c r="G82" s="2">
        <f>((SUM(C82:F82))*1.01)*1.03</f>
        <v>5911023.6801032908</v>
      </c>
      <c r="H82" s="15">
        <f t="shared" si="3"/>
        <v>3.1884251915428569E-2</v>
      </c>
      <c r="I82" s="2">
        <v>1856000.8516068703</v>
      </c>
      <c r="J82" s="2">
        <v>1420277.0305999999</v>
      </c>
    </row>
    <row r="83" spans="1:10">
      <c r="A83" s="9">
        <v>46173</v>
      </c>
      <c r="B83" t="str">
        <f t="shared" si="2"/>
        <v>2026-05</v>
      </c>
      <c r="C83" s="2">
        <v>1943751.9371498013</v>
      </c>
      <c r="D83" s="2">
        <v>2005142.854848</v>
      </c>
      <c r="E83" s="2">
        <v>461762.6261992667</v>
      </c>
      <c r="F83" s="2">
        <v>424162.5024</v>
      </c>
      <c r="G83" s="2">
        <f>((SUM(C83:F83))*0.98)*0.96</f>
        <v>4548598.5812977208</v>
      </c>
      <c r="H83" s="15">
        <f t="shared" si="3"/>
        <v>-0.23048885819753012</v>
      </c>
      <c r="I83" s="2">
        <v>1837468.4605091095</v>
      </c>
      <c r="J83" s="2">
        <v>1425532.4576000001</v>
      </c>
    </row>
    <row r="84" spans="1:10">
      <c r="A84" s="9">
        <v>46203</v>
      </c>
      <c r="B84" t="str">
        <f t="shared" si="2"/>
        <v>2026-06</v>
      </c>
      <c r="C84" s="2">
        <v>2231201.2355620959</v>
      </c>
      <c r="D84" s="2">
        <v>2188985.2013003104</v>
      </c>
      <c r="E84" s="2">
        <v>597360.61225021875</v>
      </c>
      <c r="F84" s="2">
        <v>806345.7330106966</v>
      </c>
      <c r="G84" s="2">
        <f>((SUM(C84:F84))*1.03)*1.03</f>
        <v>6178567.8525546324</v>
      </c>
      <c r="H84" s="15">
        <f t="shared" si="3"/>
        <v>0.35834537652075671</v>
      </c>
      <c r="I84" s="2">
        <v>1806138.6369082096</v>
      </c>
      <c r="J84" s="2">
        <v>1437666.1651999999</v>
      </c>
    </row>
    <row r="85" spans="1:10">
      <c r="A85" s="9">
        <v>46234</v>
      </c>
      <c r="B85" t="str">
        <f t="shared" si="2"/>
        <v>2026-07</v>
      </c>
      <c r="C85" s="2">
        <v>2256596.2131131687</v>
      </c>
      <c r="D85" s="2">
        <v>2285507.7621264001</v>
      </c>
      <c r="E85" s="2">
        <v>702053.19401651144</v>
      </c>
      <c r="F85" s="2">
        <v>803016.14718630014</v>
      </c>
      <c r="G85" s="2">
        <f>((SUM(C85:F85))*1.05)*1.03</f>
        <v>6540017.9417324355</v>
      </c>
      <c r="H85" s="15">
        <f t="shared" si="3"/>
        <v>5.8500626326917417E-2</v>
      </c>
      <c r="I85" s="2">
        <v>1805414.6038543391</v>
      </c>
      <c r="J85" s="2">
        <v>1440360.7609000001</v>
      </c>
    </row>
    <row r="86" spans="1:10" hidden="1">
      <c r="A86" s="1">
        <v>46265</v>
      </c>
      <c r="B86" t="str">
        <f t="shared" si="2"/>
        <v>2026-08</v>
      </c>
      <c r="D86" s="2"/>
      <c r="E86" s="2"/>
      <c r="F86" s="2"/>
      <c r="G86" s="2">
        <f t="shared" ref="G86" si="4">SUM(C86:F86)</f>
        <v>0</v>
      </c>
      <c r="H86" s="15">
        <f t="shared" si="3"/>
        <v>-1</v>
      </c>
      <c r="I86" s="2">
        <v>0</v>
      </c>
      <c r="J86" s="2"/>
    </row>
    <row r="87" spans="1:10">
      <c r="I87">
        <v>0</v>
      </c>
    </row>
    <row r="88" spans="1:10">
      <c r="I88">
        <v>0</v>
      </c>
    </row>
    <row r="89" spans="1:10">
      <c r="I89">
        <v>0</v>
      </c>
    </row>
    <row r="90" spans="1:10">
      <c r="I90">
        <v>0</v>
      </c>
    </row>
    <row r="91" spans="1:10">
      <c r="I91">
        <v>0</v>
      </c>
    </row>
    <row r="92" spans="1:10">
      <c r="I92">
        <v>0</v>
      </c>
    </row>
    <row r="93" spans="1:10">
      <c r="I93">
        <v>0</v>
      </c>
    </row>
    <row r="94" spans="1:10">
      <c r="I94">
        <v>0</v>
      </c>
    </row>
    <row r="95" spans="1:10">
      <c r="I95">
        <v>0</v>
      </c>
    </row>
    <row r="96" spans="1:10">
      <c r="I96">
        <v>0</v>
      </c>
    </row>
    <row r="97" spans="9:9">
      <c r="I97">
        <v>0</v>
      </c>
    </row>
    <row r="98" spans="9:9">
      <c r="I98">
        <v>0</v>
      </c>
    </row>
    <row r="99" spans="9:9">
      <c r="I99">
        <v>0</v>
      </c>
    </row>
    <row r="100" spans="9:9">
      <c r="I100">
        <v>0</v>
      </c>
    </row>
    <row r="101" spans="9:9">
      <c r="I101">
        <v>0</v>
      </c>
    </row>
    <row r="102" spans="9:9">
      <c r="I102">
        <v>0</v>
      </c>
    </row>
    <row r="103" spans="9:9">
      <c r="I103">
        <v>0</v>
      </c>
    </row>
    <row r="104" spans="9:9">
      <c r="I104">
        <v>0</v>
      </c>
    </row>
    <row r="105" spans="9:9">
      <c r="I105">
        <v>0</v>
      </c>
    </row>
    <row r="106" spans="9:9">
      <c r="I106">
        <v>0</v>
      </c>
    </row>
    <row r="107" spans="9:9">
      <c r="I107">
        <v>0</v>
      </c>
    </row>
    <row r="108" spans="9:9">
      <c r="I108">
        <v>0</v>
      </c>
    </row>
    <row r="109" spans="9:9">
      <c r="I109">
        <v>0</v>
      </c>
    </row>
    <row r="110" spans="9:9">
      <c r="I110">
        <v>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9E07ED-CEB4-4334-9502-1EA2A8E54E70}">
  <sheetPr codeName="Sheet3"/>
  <dimension ref="A1:V127"/>
  <sheetViews>
    <sheetView workbookViewId="0">
      <selection activeCell="S29" sqref="S29"/>
    </sheetView>
  </sheetViews>
  <sheetFormatPr defaultRowHeight="15"/>
  <cols>
    <col min="1" max="1" width="13.7109375" bestFit="1" customWidth="1"/>
    <col min="2" max="2" width="13.140625" bestFit="1" customWidth="1"/>
    <col min="3" max="3" width="7.7109375" bestFit="1" customWidth="1"/>
    <col min="4" max="4" width="8.5703125" bestFit="1" customWidth="1"/>
    <col min="5" max="5" width="16.85546875" bestFit="1" customWidth="1"/>
    <col min="6" max="6" width="17.42578125" bestFit="1" customWidth="1"/>
    <col min="7" max="7" width="13.140625" bestFit="1" customWidth="1"/>
    <col min="8" max="8" width="6.42578125" bestFit="1" customWidth="1"/>
    <col min="9" max="9" width="6.140625" bestFit="1" customWidth="1"/>
    <col min="10" max="10" width="6.42578125" bestFit="1" customWidth="1"/>
    <col min="13" max="13" width="13.140625" bestFit="1" customWidth="1"/>
    <col min="14" max="14" width="19.85546875" bestFit="1" customWidth="1"/>
    <col min="15" max="15" width="19.42578125" bestFit="1" customWidth="1"/>
    <col min="16" max="16" width="20.140625" bestFit="1" customWidth="1"/>
    <col min="17" max="17" width="19" bestFit="1" customWidth="1"/>
    <col min="19" max="19" width="19.85546875" bestFit="1" customWidth="1"/>
    <col min="20" max="20" width="19.42578125" bestFit="1" customWidth="1"/>
    <col min="21" max="21" width="20.140625" bestFit="1" customWidth="1"/>
    <col min="22" max="22" width="19" bestFit="1" customWidth="1"/>
    <col min="23" max="23" width="24.42578125" bestFit="1" customWidth="1"/>
    <col min="24" max="24" width="25.140625" bestFit="1" customWidth="1"/>
  </cols>
  <sheetData>
    <row r="1" spans="2:22">
      <c r="S1" s="6" t="s">
        <v>0</v>
      </c>
      <c r="T1" t="s">
        <v>22</v>
      </c>
    </row>
    <row r="2" spans="2:22">
      <c r="S2" s="6" t="s">
        <v>20</v>
      </c>
      <c r="T2" t="s">
        <v>5</v>
      </c>
    </row>
    <row r="3" spans="2:22">
      <c r="B3" s="6" t="s">
        <v>2</v>
      </c>
      <c r="C3" t="s">
        <v>36</v>
      </c>
      <c r="D3" t="s">
        <v>37</v>
      </c>
      <c r="G3" s="6" t="s">
        <v>2</v>
      </c>
      <c r="H3" t="s">
        <v>38</v>
      </c>
      <c r="I3" t="s">
        <v>39</v>
      </c>
      <c r="J3" t="s">
        <v>40</v>
      </c>
      <c r="S3" s="6" t="s">
        <v>21</v>
      </c>
      <c r="T3" t="s">
        <v>12</v>
      </c>
    </row>
    <row r="4" spans="2:22">
      <c r="B4" s="7" t="s">
        <v>4</v>
      </c>
      <c r="C4" s="10">
        <v>1257455.7043252501</v>
      </c>
      <c r="D4" s="10">
        <v>1382305.3063927502</v>
      </c>
      <c r="G4" s="7" t="s">
        <v>4</v>
      </c>
      <c r="H4" s="10">
        <v>1382305.3063927502</v>
      </c>
      <c r="I4" s="10">
        <v>411033.59229250002</v>
      </c>
      <c r="J4" s="10">
        <v>523889.2910045</v>
      </c>
    </row>
    <row r="5" spans="2:22">
      <c r="B5" s="7" t="s">
        <v>6</v>
      </c>
      <c r="C5" s="10">
        <v>1325008.2316693335</v>
      </c>
      <c r="D5" s="10">
        <v>1591779.5359450001</v>
      </c>
      <c r="G5" s="7" t="s">
        <v>6</v>
      </c>
      <c r="H5" s="10">
        <v>1591779.5359450001</v>
      </c>
      <c r="I5" s="10">
        <v>473250.88974675001</v>
      </c>
      <c r="J5" s="10">
        <v>549675.01790075004</v>
      </c>
      <c r="S5" t="s">
        <v>13</v>
      </c>
      <c r="T5" t="s">
        <v>14</v>
      </c>
      <c r="U5" t="s">
        <v>15</v>
      </c>
      <c r="V5" t="s">
        <v>16</v>
      </c>
    </row>
    <row r="6" spans="2:22">
      <c r="B6" s="7" t="s">
        <v>7</v>
      </c>
      <c r="C6" s="10">
        <v>1399245.6796657003</v>
      </c>
      <c r="D6" s="10">
        <v>1651533.7999113221</v>
      </c>
      <c r="G6" s="7" t="s">
        <v>7</v>
      </c>
      <c r="H6" s="10">
        <v>1651533.7999113221</v>
      </c>
      <c r="I6" s="10">
        <v>575835.29620113724</v>
      </c>
      <c r="J6" s="10">
        <v>635623.80951683049</v>
      </c>
      <c r="S6" s="10">
        <v>2256596.2131131687</v>
      </c>
      <c r="T6" s="10">
        <v>2285507.7621264001</v>
      </c>
      <c r="U6" s="10">
        <v>702053.19401651144</v>
      </c>
      <c r="V6" s="10">
        <v>803016.14718630014</v>
      </c>
    </row>
    <row r="7" spans="2:22">
      <c r="B7" s="7" t="s">
        <v>8</v>
      </c>
      <c r="C7" s="10">
        <v>1982519.7416446202</v>
      </c>
      <c r="D7" s="10">
        <v>2209091.3427305329</v>
      </c>
      <c r="G7" s="7" t="s">
        <v>8</v>
      </c>
      <c r="H7" s="10">
        <v>2209091.3427305329</v>
      </c>
      <c r="I7" s="10">
        <v>522523.71756173839</v>
      </c>
      <c r="J7" s="10">
        <v>946702.21250513708</v>
      </c>
    </row>
    <row r="8" spans="2:22">
      <c r="B8" s="7" t="s">
        <v>9</v>
      </c>
      <c r="C8" s="10">
        <v>2398111.3420508341</v>
      </c>
      <c r="D8" s="10">
        <v>2691041.3304853183</v>
      </c>
      <c r="G8" s="7" t="s">
        <v>9</v>
      </c>
      <c r="H8" s="10">
        <v>2691041.3304853183</v>
      </c>
      <c r="I8" s="10">
        <v>546643.84896734543</v>
      </c>
      <c r="J8" s="10">
        <v>1066573.5319862284</v>
      </c>
    </row>
    <row r="9" spans="2:22">
      <c r="B9" s="7" t="s">
        <v>10</v>
      </c>
      <c r="C9" s="10">
        <v>2298568.7548081107</v>
      </c>
      <c r="D9" s="10">
        <v>2353748.5545104765</v>
      </c>
      <c r="G9" s="7" t="s">
        <v>10</v>
      </c>
      <c r="H9" s="10">
        <v>2353748.5545104765</v>
      </c>
      <c r="I9" s="10">
        <v>572132.96772430884</v>
      </c>
      <c r="J9" s="10">
        <v>825708.92656045256</v>
      </c>
    </row>
    <row r="10" spans="2:22">
      <c r="B10" s="7" t="s">
        <v>11</v>
      </c>
      <c r="C10" s="10">
        <v>2046628.3001964816</v>
      </c>
      <c r="D10" s="10">
        <v>2159268.3380756648</v>
      </c>
      <c r="G10" s="7" t="s">
        <v>11</v>
      </c>
      <c r="H10" s="10">
        <v>2159268.3380756648</v>
      </c>
      <c r="I10" s="10">
        <v>576436.30854403984</v>
      </c>
      <c r="J10" s="10">
        <v>712977.87059197656</v>
      </c>
    </row>
    <row r="11" spans="2:22">
      <c r="B11" s="7" t="s">
        <v>12</v>
      </c>
      <c r="C11" s="10">
        <v>2076238.0743561271</v>
      </c>
      <c r="D11" s="10">
        <v>2062471.8132451628</v>
      </c>
      <c r="G11" s="7" t="s">
        <v>12</v>
      </c>
      <c r="H11" s="10">
        <v>2062471.8132451628</v>
      </c>
      <c r="I11" s="10">
        <v>605617.27870387339</v>
      </c>
      <c r="J11" s="10">
        <v>736601.89730627439</v>
      </c>
    </row>
    <row r="15" spans="2:22">
      <c r="G15" s="6" t="s">
        <v>2</v>
      </c>
      <c r="H15" t="s">
        <v>24</v>
      </c>
      <c r="I15" t="s">
        <v>41</v>
      </c>
      <c r="J15" t="s">
        <v>42</v>
      </c>
    </row>
    <row r="16" spans="2:22">
      <c r="G16" s="7" t="s">
        <v>4</v>
      </c>
      <c r="H16" s="8">
        <v>3657697.4576874035</v>
      </c>
      <c r="I16" s="8"/>
      <c r="J16" s="8"/>
    </row>
    <row r="17" spans="4:14">
      <c r="G17" s="7" t="s">
        <v>6</v>
      </c>
      <c r="H17" s="8">
        <v>3884931.624444718</v>
      </c>
      <c r="I17" s="8"/>
      <c r="J17" s="8"/>
    </row>
    <row r="18" spans="4:14">
      <c r="G18" s="7" t="s">
        <v>7</v>
      </c>
      <c r="H18" s="8">
        <v>4313061.9491546117</v>
      </c>
      <c r="I18" s="8">
        <v>1004036.682083534</v>
      </c>
      <c r="J18" s="8">
        <v>888893.69028732309</v>
      </c>
    </row>
    <row r="19" spans="4:14">
      <c r="G19" s="7" t="s">
        <v>8</v>
      </c>
      <c r="H19" s="8">
        <v>5818274.401224778</v>
      </c>
      <c r="I19" s="8">
        <v>1462430.507760616</v>
      </c>
      <c r="J19" s="8">
        <v>1330961.203607592</v>
      </c>
    </row>
    <row r="20" spans="4:14">
      <c r="G20" s="7" t="s">
        <v>9</v>
      </c>
      <c r="H20" s="8">
        <v>6665024.2383959964</v>
      </c>
      <c r="I20" s="8">
        <v>1963544.1600700049</v>
      </c>
      <c r="J20" s="8">
        <v>1766297.6725068695</v>
      </c>
    </row>
    <row r="21" spans="4:14">
      <c r="G21" s="7" t="s">
        <v>10</v>
      </c>
      <c r="H21" s="8">
        <v>6143769.0507431403</v>
      </c>
      <c r="I21" s="8">
        <v>1943969.2729679653</v>
      </c>
      <c r="J21" s="8">
        <v>1500785.7239669578</v>
      </c>
    </row>
    <row r="22" spans="4:14">
      <c r="G22" s="7" t="s">
        <v>11</v>
      </c>
      <c r="H22" s="8">
        <v>5510109.0747984005</v>
      </c>
      <c r="I22" s="8">
        <v>1766332.8684170933</v>
      </c>
      <c r="J22" s="8">
        <v>1449686.2609699119</v>
      </c>
    </row>
    <row r="23" spans="4:14">
      <c r="G23" s="7" t="s">
        <v>12</v>
      </c>
      <c r="H23" s="8">
        <v>4869752.6317251939</v>
      </c>
      <c r="I23" s="8">
        <v>1606697.7225872541</v>
      </c>
      <c r="J23" s="8">
        <v>1411867.0477428571</v>
      </c>
    </row>
    <row r="24" spans="4:14">
      <c r="G24" s="7" t="s">
        <v>3</v>
      </c>
      <c r="H24" s="8">
        <v>5257272.0827344144</v>
      </c>
      <c r="I24" s="8">
        <v>1720356.1616531659</v>
      </c>
      <c r="J24" s="8">
        <v>1467629.6678909988</v>
      </c>
    </row>
    <row r="26" spans="4:14">
      <c r="M26" s="6" t="s">
        <v>2</v>
      </c>
      <c r="N26" t="s">
        <v>17</v>
      </c>
    </row>
    <row r="27" spans="4:14">
      <c r="M27" s="7" t="s">
        <v>4</v>
      </c>
      <c r="N27" s="10">
        <v>14630789.830749614</v>
      </c>
    </row>
    <row r="28" spans="4:14">
      <c r="M28" s="7" t="s">
        <v>6</v>
      </c>
      <c r="N28" s="10">
        <v>46619179.493336618</v>
      </c>
    </row>
    <row r="29" spans="4:14">
      <c r="M29" s="7" t="s">
        <v>7</v>
      </c>
      <c r="N29" s="10">
        <v>51756743.38985534</v>
      </c>
    </row>
    <row r="30" spans="4:14">
      <c r="M30" s="7" t="s">
        <v>8</v>
      </c>
      <c r="N30" s="10">
        <v>69819292.81469734</v>
      </c>
    </row>
    <row r="31" spans="4:14">
      <c r="M31" s="7" t="s">
        <v>9</v>
      </c>
      <c r="N31" s="10">
        <v>79980290.860751957</v>
      </c>
    </row>
    <row r="32" spans="4:14">
      <c r="D32" t="s">
        <v>33</v>
      </c>
      <c r="E32" t="s">
        <v>34</v>
      </c>
      <c r="F32" t="s">
        <v>35</v>
      </c>
      <c r="G32" t="s">
        <v>32</v>
      </c>
      <c r="M32" s="7" t="s">
        <v>10</v>
      </c>
      <c r="N32" s="10">
        <v>73725228.608917683</v>
      </c>
    </row>
    <row r="33" spans="1:14">
      <c r="D33" s="10">
        <f>E48</f>
        <v>6540017.9417324355</v>
      </c>
      <c r="E33" s="10">
        <f>E49+E50</f>
        <v>3245775.3647543392</v>
      </c>
      <c r="F33" s="14">
        <f>Table2[total non commit]/Table2[total]</f>
        <v>0.49629456580581505</v>
      </c>
      <c r="M33" s="7" t="s">
        <v>11</v>
      </c>
      <c r="N33" s="10">
        <v>66121308.89758081</v>
      </c>
    </row>
    <row r="34" spans="1:14">
      <c r="M34" s="7" t="s">
        <v>12</v>
      </c>
      <c r="N34" s="10">
        <v>38958021.053801551</v>
      </c>
    </row>
    <row r="35" spans="1:14">
      <c r="M35" s="7" t="s">
        <v>3</v>
      </c>
      <c r="N35" s="8">
        <v>441610854.94969088</v>
      </c>
    </row>
    <row r="43" spans="1:14">
      <c r="A43" t="s">
        <v>18</v>
      </c>
      <c r="B43" t="s">
        <v>19</v>
      </c>
      <c r="D43" t="s">
        <v>17</v>
      </c>
      <c r="E43" t="s">
        <v>43</v>
      </c>
      <c r="F43" t="s">
        <v>44</v>
      </c>
      <c r="G43" t="s">
        <v>45</v>
      </c>
    </row>
    <row r="44" spans="1:14">
      <c r="A44" s="9">
        <v>43738</v>
      </c>
      <c r="B44" s="11">
        <v>3444261.76</v>
      </c>
      <c r="D44" s="8">
        <v>441610854.94969082</v>
      </c>
      <c r="E44" s="8">
        <v>85122520.737677932</v>
      </c>
      <c r="F44" s="8">
        <v>101501013.53753679</v>
      </c>
      <c r="G44" s="8">
        <v>45085331.665040962</v>
      </c>
    </row>
    <row r="45" spans="1:14">
      <c r="A45" s="9">
        <v>43769</v>
      </c>
      <c r="B45" s="11"/>
    </row>
    <row r="46" spans="1:14">
      <c r="A46" s="9">
        <v>43799</v>
      </c>
    </row>
    <row r="47" spans="1:14">
      <c r="A47" s="9">
        <v>43830</v>
      </c>
    </row>
    <row r="48" spans="1:14">
      <c r="A48" s="9">
        <v>43861</v>
      </c>
      <c r="D48" s="13">
        <f>GETPIVOTDATA("Sum of Total ",$D$43)</f>
        <v>441610854.94969082</v>
      </c>
      <c r="E48" s="10">
        <f>Data!G85</f>
        <v>6540017.9417324355</v>
      </c>
    </row>
    <row r="49" spans="1:7">
      <c r="A49" s="9">
        <v>43890</v>
      </c>
      <c r="D49" s="13" t="e">
        <f>GETPIVOTDATA("Sum of Cemetery FG (Non-Commit)",$D$43)+GETPIVOTDATA("Sum of Enterprise FG (Non-Commit)",$D$43)</f>
        <v>#REF!</v>
      </c>
      <c r="E49" s="4">
        <f>Data!I85</f>
        <v>1805414.6038543391</v>
      </c>
      <c r="F49" s="10">
        <f>E49+E50</f>
        <v>3245775.3647543392</v>
      </c>
      <c r="G49" s="28">
        <f>Table2[total non commit]/Table2[total]</f>
        <v>0.49629456580581505</v>
      </c>
    </row>
    <row r="50" spans="1:7">
      <c r="A50" s="9">
        <v>43921</v>
      </c>
      <c r="D50" s="13" t="e">
        <f>D48+D49</f>
        <v>#REF!</v>
      </c>
      <c r="E50" s="4">
        <f>Data!J85</f>
        <v>1440360.7609000001</v>
      </c>
    </row>
    <row r="51" spans="1:7">
      <c r="A51" s="9">
        <v>43951</v>
      </c>
      <c r="D51" s="13" t="e">
        <f>GETPIVOTDATA("Sum of Cemetery WP",$D$43)</f>
        <v>#REF!</v>
      </c>
    </row>
    <row r="52" spans="1:7">
      <c r="A52" s="9">
        <v>43982</v>
      </c>
      <c r="D52" s="14" t="e">
        <f>(GETPIVOTDATA("Sum of Enterprise FG (Non-Commit)",$D$43)+GETPIVOTDATA("Sum of Cemetery FG (Non-Commit)",$D$43))/GETPIVOTDATA("Sum of Total ",$D$43)</f>
        <v>#REF!</v>
      </c>
    </row>
    <row r="53" spans="1:7">
      <c r="A53" s="9">
        <v>44012</v>
      </c>
      <c r="D53" s="35" t="e">
        <f>(GETPIVOTDATA("Sum of Enterprise FG (Non-Commit)",$D$43)+GETPIVOTDATA("Sum of Cemetery FG (Non-Commit)",$D$43))/GETPIVOTDATA("Sum of Total ",$D$43)</f>
        <v>#REF!</v>
      </c>
    </row>
    <row r="54" spans="1:7">
      <c r="A54" s="9">
        <v>44043</v>
      </c>
    </row>
    <row r="55" spans="1:7">
      <c r="A55" s="9">
        <v>44074</v>
      </c>
    </row>
    <row r="56" spans="1:7">
      <c r="A56" s="9">
        <v>44104</v>
      </c>
    </row>
    <row r="57" spans="1:7">
      <c r="A57" s="9">
        <v>44135</v>
      </c>
    </row>
    <row r="58" spans="1:7">
      <c r="A58" s="9">
        <v>44165</v>
      </c>
      <c r="D58" s="33">
        <f>(Data!G85-Data!G84)/Data!G84</f>
        <v>5.8500626326917417E-2</v>
      </c>
    </row>
    <row r="59" spans="1:7">
      <c r="A59" s="9">
        <v>44196</v>
      </c>
      <c r="D59" s="4">
        <f>Data!I84+Data!J84</f>
        <v>3243804.8021082096</v>
      </c>
    </row>
    <row r="60" spans="1:7">
      <c r="A60" s="9">
        <v>44227</v>
      </c>
      <c r="D60" s="4">
        <f>E49+E50</f>
        <v>3245775.3647543392</v>
      </c>
      <c r="E60" s="34">
        <f>D59/Data!G84</f>
        <v>0.52500917356875898</v>
      </c>
    </row>
    <row r="61" spans="1:7">
      <c r="A61" s="9">
        <v>44255</v>
      </c>
      <c r="D61" s="29">
        <f>(D60-D59)/D59</f>
        <v>6.0748496483170893E-4</v>
      </c>
      <c r="E61" s="36">
        <f>(G49-E60)/E60</f>
        <v>-5.4693535291499555E-2</v>
      </c>
    </row>
    <row r="62" spans="1:7">
      <c r="A62" s="9">
        <v>44286</v>
      </c>
    </row>
    <row r="63" spans="1:7">
      <c r="A63" s="9">
        <v>44316</v>
      </c>
    </row>
    <row r="64" spans="1:7">
      <c r="A64" s="9">
        <v>44347</v>
      </c>
    </row>
    <row r="65" spans="1:7">
      <c r="A65" s="9">
        <v>44377</v>
      </c>
    </row>
    <row r="66" spans="1:7">
      <c r="A66" s="9">
        <v>44407</v>
      </c>
    </row>
    <row r="67" spans="1:7">
      <c r="A67" s="9">
        <v>44439</v>
      </c>
    </row>
    <row r="68" spans="1:7">
      <c r="A68" s="9">
        <v>44469</v>
      </c>
    </row>
    <row r="69" spans="1:7">
      <c r="A69" s="9">
        <v>44499</v>
      </c>
    </row>
    <row r="70" spans="1:7">
      <c r="A70" s="9">
        <v>44530</v>
      </c>
    </row>
    <row r="71" spans="1:7">
      <c r="A71" s="9">
        <v>44561</v>
      </c>
    </row>
    <row r="72" spans="1:7">
      <c r="A72" s="9">
        <v>44592</v>
      </c>
    </row>
    <row r="73" spans="1:7">
      <c r="A73" s="9">
        <v>44620</v>
      </c>
      <c r="E73" s="6" t="s">
        <v>2</v>
      </c>
      <c r="F73" t="s">
        <v>26</v>
      </c>
      <c r="G73" t="s">
        <v>17</v>
      </c>
    </row>
    <row r="74" spans="1:7">
      <c r="A74" s="9">
        <v>44651</v>
      </c>
      <c r="E74" s="7" t="s">
        <v>6</v>
      </c>
      <c r="F74" s="14"/>
      <c r="G74" s="10">
        <v>46619179.493336618</v>
      </c>
    </row>
    <row r="75" spans="1:7">
      <c r="A75" s="9">
        <v>44681</v>
      </c>
      <c r="E75" s="7" t="s">
        <v>7</v>
      </c>
      <c r="F75" s="14">
        <v>0.11020279533776534</v>
      </c>
      <c r="G75" s="10">
        <v>51756743.38985534</v>
      </c>
    </row>
    <row r="76" spans="1:7">
      <c r="A76" s="9">
        <v>44712</v>
      </c>
      <c r="E76" s="7" t="s">
        <v>8</v>
      </c>
      <c r="F76" s="14">
        <v>0.34898929572880311</v>
      </c>
      <c r="G76" s="10">
        <v>69819292.81469734</v>
      </c>
    </row>
    <row r="77" spans="1:7">
      <c r="A77" s="9">
        <v>44742</v>
      </c>
      <c r="E77" s="7" t="s">
        <v>9</v>
      </c>
      <c r="F77" s="14">
        <v>0.14553281244228919</v>
      </c>
      <c r="G77" s="10">
        <v>79980290.860751957</v>
      </c>
    </row>
    <row r="78" spans="1:7">
      <c r="A78" s="9">
        <v>44773</v>
      </c>
      <c r="E78" s="7" t="s">
        <v>10</v>
      </c>
      <c r="F78" s="14">
        <v>-7.8207545690531691E-2</v>
      </c>
      <c r="G78" s="10">
        <v>73725228.608917683</v>
      </c>
    </row>
    <row r="79" spans="1:7">
      <c r="A79" s="9">
        <v>44804</v>
      </c>
      <c r="E79" s="7" t="s">
        <v>11</v>
      </c>
      <c r="F79" s="14">
        <v>-0.1843514967505944</v>
      </c>
      <c r="G79" s="10">
        <v>60133872.366583966</v>
      </c>
    </row>
    <row r="80" spans="1:7">
      <c r="A80" s="9">
        <v>44834</v>
      </c>
    </row>
    <row r="81" spans="1:1">
      <c r="A81" s="9">
        <v>44865</v>
      </c>
    </row>
    <row r="82" spans="1:1">
      <c r="A82" s="9">
        <v>44895</v>
      </c>
    </row>
    <row r="83" spans="1:1">
      <c r="A83" s="9">
        <v>44926</v>
      </c>
    </row>
    <row r="84" spans="1:1">
      <c r="A84" s="9">
        <v>44957</v>
      </c>
    </row>
    <row r="85" spans="1:1">
      <c r="A85" s="9">
        <v>44985</v>
      </c>
    </row>
    <row r="86" spans="1:1">
      <c r="A86" s="9">
        <v>45016</v>
      </c>
    </row>
    <row r="87" spans="1:1">
      <c r="A87" s="9">
        <v>45046</v>
      </c>
    </row>
    <row r="88" spans="1:1">
      <c r="A88" s="9">
        <v>45077</v>
      </c>
    </row>
    <row r="89" spans="1:1">
      <c r="A89" s="9">
        <v>45107</v>
      </c>
    </row>
    <row r="90" spans="1:1">
      <c r="A90" s="9">
        <v>45138</v>
      </c>
    </row>
    <row r="91" spans="1:1">
      <c r="A91" s="9">
        <v>45169</v>
      </c>
    </row>
    <row r="92" spans="1:1">
      <c r="A92" s="9">
        <v>45199</v>
      </c>
    </row>
    <row r="93" spans="1:1">
      <c r="A93" s="9">
        <v>45230</v>
      </c>
    </row>
    <row r="94" spans="1:1">
      <c r="A94" s="9">
        <v>45260</v>
      </c>
    </row>
    <row r="95" spans="1:1">
      <c r="A95" s="9">
        <v>45291</v>
      </c>
    </row>
    <row r="96" spans="1:1">
      <c r="A96" s="9">
        <v>45322</v>
      </c>
    </row>
    <row r="97" spans="1:1">
      <c r="A97" s="9">
        <v>45351</v>
      </c>
    </row>
    <row r="98" spans="1:1">
      <c r="A98" s="9">
        <v>45382</v>
      </c>
    </row>
    <row r="99" spans="1:1">
      <c r="A99" s="9">
        <v>45412</v>
      </c>
    </row>
    <row r="100" spans="1:1">
      <c r="A100" s="9">
        <v>45443</v>
      </c>
    </row>
    <row r="101" spans="1:1">
      <c r="A101" s="9">
        <v>45473</v>
      </c>
    </row>
    <row r="102" spans="1:1">
      <c r="A102" s="9">
        <v>45504</v>
      </c>
    </row>
    <row r="103" spans="1:1">
      <c r="A103" s="9">
        <v>45535</v>
      </c>
    </row>
    <row r="104" spans="1:1">
      <c r="A104" s="9">
        <v>45565</v>
      </c>
    </row>
    <row r="105" spans="1:1">
      <c r="A105" s="9">
        <v>45596</v>
      </c>
    </row>
    <row r="106" spans="1:1">
      <c r="A106" s="9">
        <v>45626</v>
      </c>
    </row>
    <row r="107" spans="1:1">
      <c r="A107" s="9">
        <v>45657</v>
      </c>
    </row>
    <row r="108" spans="1:1">
      <c r="A108" s="9">
        <v>45688</v>
      </c>
    </row>
    <row r="109" spans="1:1">
      <c r="A109" s="9">
        <v>45716</v>
      </c>
    </row>
    <row r="110" spans="1:1">
      <c r="A110" s="9">
        <v>45747</v>
      </c>
    </row>
    <row r="111" spans="1:1">
      <c r="A111" s="9">
        <v>45777</v>
      </c>
    </row>
    <row r="112" spans="1:1">
      <c r="A112" s="9">
        <v>45808</v>
      </c>
    </row>
    <row r="113" spans="1:5">
      <c r="A113" s="9">
        <v>45838</v>
      </c>
    </row>
    <row r="114" spans="1:5">
      <c r="A114" s="9">
        <v>45869</v>
      </c>
    </row>
    <row r="115" spans="1:5">
      <c r="A115" s="9">
        <v>45900</v>
      </c>
    </row>
    <row r="116" spans="1:5">
      <c r="A116" s="9">
        <v>45930</v>
      </c>
    </row>
    <row r="117" spans="1:5">
      <c r="A117" s="9">
        <v>45961</v>
      </c>
    </row>
    <row r="118" spans="1:5">
      <c r="A118" s="9">
        <v>45991</v>
      </c>
    </row>
    <row r="119" spans="1:5">
      <c r="A119" s="9">
        <v>46022</v>
      </c>
    </row>
    <row r="120" spans="1:5">
      <c r="A120" s="9">
        <v>46053</v>
      </c>
    </row>
    <row r="121" spans="1:5">
      <c r="A121" s="9">
        <v>46081</v>
      </c>
    </row>
    <row r="122" spans="1:5">
      <c r="A122" s="9">
        <v>46112</v>
      </c>
    </row>
    <row r="123" spans="1:5">
      <c r="A123" s="9">
        <v>46142</v>
      </c>
    </row>
    <row r="124" spans="1:5">
      <c r="A124" s="9">
        <v>46173</v>
      </c>
    </row>
    <row r="125" spans="1:5">
      <c r="A125" s="9">
        <v>46203</v>
      </c>
    </row>
    <row r="126" spans="1:5">
      <c r="A126" s="9">
        <v>46234</v>
      </c>
    </row>
    <row r="127" spans="1:5">
      <c r="E127" s="41"/>
    </row>
  </sheetData>
  <pageMargins left="0.7" right="0.7" top="0.75" bottom="0.75" header="0.3" footer="0.3"/>
  <tableParts count="2">
    <tablePart r:id="rId8"/>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6B75C-4710-4A69-8E34-EC46229FEC5B}">
  <sheetPr codeName="Sheet4">
    <tabColor theme="4" tint="-0.499984740745262"/>
    <pageSetUpPr autoPageBreaks="0"/>
  </sheetPr>
  <dimension ref="A1:AD51"/>
  <sheetViews>
    <sheetView showGridLines="0" showRowColHeaders="0" tabSelected="1" zoomScaleNormal="100" workbookViewId="0">
      <selection activeCell="Z18" sqref="Z18"/>
    </sheetView>
  </sheetViews>
  <sheetFormatPr defaultColWidth="0" defaultRowHeight="15" zeroHeight="1"/>
  <cols>
    <col min="1" max="1" width="14.28515625" bestFit="1" customWidth="1"/>
    <col min="2" max="21" width="9.140625" customWidth="1"/>
    <col min="22" max="22" width="6.140625" customWidth="1"/>
    <col min="23" max="23" width="2.5703125" customWidth="1"/>
    <col min="24" max="24" width="18.5703125" customWidth="1"/>
    <col min="25" max="25" width="18.85546875" customWidth="1"/>
    <col min="26" max="26" width="18.7109375" customWidth="1"/>
    <col min="27" max="27" width="2.5703125" customWidth="1"/>
    <col min="28" max="28" width="9.140625" customWidth="1"/>
    <col min="29" max="30" width="0" hidden="1" customWidth="1"/>
    <col min="31" max="16384" width="9.140625" hidden="1"/>
  </cols>
  <sheetData>
    <row r="1" spans="1:30"/>
    <row r="2" spans="1:30"/>
    <row r="3" spans="1:30"/>
    <row r="4" spans="1:30">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row>
    <row r="5" spans="1:30">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row>
    <row r="6" spans="1:30">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row>
    <row r="7" spans="1:30">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row>
    <row r="8" spans="1:30">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row>
    <row r="9" spans="1:30">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row>
    <row r="10" spans="1:30">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row>
    <row r="11" spans="1:30">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row>
    <row r="12" spans="1:30">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row>
    <row r="13" spans="1:30">
      <c r="A13" s="12"/>
      <c r="B13" s="12"/>
      <c r="C13" s="12"/>
      <c r="D13" s="12"/>
      <c r="E13" s="12"/>
      <c r="F13" s="12"/>
      <c r="G13" s="12"/>
      <c r="H13" s="12"/>
      <c r="I13" s="12"/>
      <c r="J13" s="12"/>
      <c r="K13" s="12"/>
      <c r="L13" s="12"/>
      <c r="M13" s="12"/>
      <c r="N13" s="12"/>
      <c r="O13" s="12"/>
      <c r="P13" s="12"/>
      <c r="Q13" s="12"/>
      <c r="R13" s="12"/>
      <c r="S13" s="12"/>
      <c r="T13" s="12"/>
      <c r="U13" s="12"/>
      <c r="V13" s="12"/>
      <c r="W13" s="12"/>
      <c r="X13" s="12"/>
      <c r="Y13" s="12"/>
      <c r="Z13" s="12"/>
      <c r="AA13" s="12"/>
      <c r="AB13" s="12"/>
      <c r="AC13" s="12"/>
      <c r="AD13" s="12"/>
    </row>
    <row r="14" spans="1:30">
      <c r="A14" s="12"/>
      <c r="B14" s="12"/>
      <c r="C14" s="12"/>
      <c r="D14" s="12"/>
      <c r="E14" s="12"/>
      <c r="F14" s="12"/>
      <c r="G14" s="12"/>
      <c r="H14" s="12"/>
      <c r="I14" s="12"/>
      <c r="J14" s="12"/>
      <c r="K14" s="12"/>
      <c r="L14" s="12"/>
      <c r="M14" s="12"/>
      <c r="N14" s="12"/>
      <c r="O14" s="12"/>
      <c r="P14" s="12"/>
      <c r="Q14" s="12"/>
      <c r="R14" s="12"/>
      <c r="S14" s="12"/>
      <c r="T14" s="12"/>
      <c r="U14" s="12"/>
      <c r="V14" s="12"/>
      <c r="W14" s="12"/>
      <c r="X14" s="12"/>
      <c r="Y14" s="12"/>
      <c r="Z14" s="12"/>
      <c r="AA14" s="12"/>
      <c r="AB14" s="12"/>
      <c r="AC14" s="12"/>
      <c r="AD14" s="12"/>
    </row>
    <row r="15" spans="1:30">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row>
    <row r="16" spans="1:30">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row>
    <row r="17" spans="1:30">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row>
    <row r="18" spans="1:30">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row>
    <row r="19" spans="1:30">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row>
    <row r="20" spans="1:30">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row>
    <row r="21" spans="1:30">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row>
    <row r="22" spans="1:30" ht="15.75" customHeight="1">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row>
    <row r="23" spans="1:30" ht="20.25">
      <c r="A23" s="12"/>
      <c r="B23" s="12"/>
      <c r="C23" s="12"/>
      <c r="D23" s="12"/>
      <c r="E23" s="12"/>
      <c r="F23" s="12"/>
      <c r="G23" s="12"/>
      <c r="H23" s="12"/>
      <c r="I23" s="12"/>
      <c r="J23" s="12"/>
      <c r="K23" s="12"/>
      <c r="L23" s="12"/>
      <c r="M23" s="12"/>
      <c r="N23" s="12"/>
      <c r="O23" s="12"/>
      <c r="P23" s="12"/>
      <c r="Q23" s="12"/>
      <c r="R23" s="12"/>
      <c r="S23" s="12"/>
      <c r="T23" s="12"/>
      <c r="U23" s="12"/>
      <c r="V23" s="12"/>
      <c r="W23" s="12"/>
      <c r="X23" s="39" t="s">
        <v>27</v>
      </c>
      <c r="Y23" s="39"/>
      <c r="Z23" s="40"/>
      <c r="AA23" s="12"/>
      <c r="AB23" s="12"/>
      <c r="AC23" s="12"/>
      <c r="AD23" s="12"/>
    </row>
    <row r="24" spans="1:30">
      <c r="A24" s="12"/>
      <c r="B24" s="12"/>
      <c r="C24" s="12"/>
      <c r="D24" s="12"/>
      <c r="E24" s="12"/>
      <c r="F24" s="12"/>
      <c r="G24" s="12"/>
      <c r="H24" s="12"/>
      <c r="I24" s="12"/>
      <c r="J24" s="12"/>
      <c r="K24" s="12"/>
      <c r="L24" s="12"/>
      <c r="M24" s="12"/>
      <c r="N24" s="12"/>
      <c r="O24" s="12"/>
      <c r="P24" s="12"/>
      <c r="Q24" s="12"/>
      <c r="R24" s="12"/>
      <c r="S24" s="12"/>
      <c r="T24" s="12"/>
      <c r="U24" s="12"/>
      <c r="V24" s="12"/>
      <c r="W24" s="12"/>
      <c r="X24" s="37" t="s">
        <v>28</v>
      </c>
      <c r="Y24" s="37"/>
      <c r="Z24" s="38"/>
      <c r="AA24" s="12"/>
      <c r="AB24" s="12"/>
      <c r="AC24" s="12"/>
      <c r="AD24" s="12"/>
    </row>
    <row r="25" spans="1:30" ht="12.75" customHeight="1">
      <c r="A25" s="12"/>
      <c r="B25" s="12"/>
      <c r="C25" s="12"/>
      <c r="D25" s="12"/>
      <c r="E25" s="12"/>
      <c r="F25" s="12"/>
      <c r="G25" s="12"/>
      <c r="H25" s="12"/>
      <c r="I25" s="12"/>
      <c r="J25" s="12"/>
      <c r="K25" s="12"/>
      <c r="L25" s="12"/>
      <c r="M25" s="12"/>
      <c r="N25" s="12"/>
      <c r="O25" s="12"/>
      <c r="P25" s="12"/>
      <c r="Q25" s="12"/>
      <c r="R25" s="12"/>
      <c r="S25" s="12"/>
      <c r="T25" s="12"/>
      <c r="U25" s="12"/>
      <c r="V25" s="12"/>
      <c r="W25" s="12"/>
      <c r="X25" s="37"/>
      <c r="Y25" s="37"/>
      <c r="Z25" s="38"/>
      <c r="AA25" s="12"/>
      <c r="AB25" s="12"/>
      <c r="AC25" s="12"/>
      <c r="AD25" s="12"/>
    </row>
    <row r="26" spans="1:30" ht="30" customHeight="1">
      <c r="A26" s="12"/>
      <c r="B26" s="12"/>
      <c r="C26" s="12"/>
      <c r="D26" s="12"/>
      <c r="E26" s="12"/>
      <c r="F26" s="12"/>
      <c r="G26" s="12"/>
      <c r="H26" s="12"/>
      <c r="I26" s="12"/>
      <c r="J26" s="12"/>
      <c r="K26" s="12"/>
      <c r="L26" s="12"/>
      <c r="M26" s="12"/>
      <c r="N26" s="12"/>
      <c r="O26" s="12"/>
      <c r="P26" s="12"/>
      <c r="Q26" s="12"/>
      <c r="R26" s="12"/>
      <c r="S26" s="12"/>
      <c r="T26" s="12"/>
      <c r="U26" s="12"/>
      <c r="V26" s="12"/>
      <c r="W26" s="12"/>
      <c r="X26" s="21" t="s">
        <v>29</v>
      </c>
      <c r="Y26" s="20" t="s">
        <v>31</v>
      </c>
      <c r="Z26" s="22" t="s">
        <v>30</v>
      </c>
      <c r="AA26" s="12"/>
      <c r="AB26" s="12"/>
      <c r="AC26" s="12"/>
      <c r="AD26" s="12"/>
    </row>
    <row r="27" spans="1:30" ht="30" customHeight="1">
      <c r="A27" s="12"/>
      <c r="B27" s="12"/>
      <c r="C27" s="12"/>
      <c r="D27" s="12"/>
      <c r="E27" s="12"/>
      <c r="F27" s="12"/>
      <c r="G27" s="12"/>
      <c r="H27" s="12"/>
      <c r="I27" s="12"/>
      <c r="J27" s="12"/>
      <c r="K27" s="12"/>
      <c r="L27" s="12"/>
      <c r="M27" s="12"/>
      <c r="N27" s="12"/>
      <c r="O27" s="12"/>
      <c r="P27" s="12"/>
      <c r="Q27" s="12"/>
      <c r="R27" s="12"/>
      <c r="S27" s="12"/>
      <c r="T27" s="12"/>
      <c r="U27" s="12"/>
      <c r="V27" s="12"/>
      <c r="W27" s="12"/>
      <c r="X27" s="18" t="str">
        <f>Calculations!E75</f>
        <v>2021</v>
      </c>
      <c r="Y27" s="25"/>
      <c r="Z27" s="30">
        <f>GETPIVOTDATA("Sum of Total 2",Calculations!$E$73,"Years",2021)</f>
        <v>0.11020279533776534</v>
      </c>
      <c r="AA27" s="12"/>
      <c r="AB27" s="12"/>
      <c r="AC27" s="12"/>
      <c r="AD27" s="12"/>
    </row>
    <row r="28" spans="1:30" ht="30" customHeight="1">
      <c r="A28" s="12"/>
      <c r="B28" s="12"/>
      <c r="C28" s="12"/>
      <c r="D28" s="12"/>
      <c r="E28" s="12"/>
      <c r="F28" s="12"/>
      <c r="G28" s="12"/>
      <c r="H28" s="12"/>
      <c r="I28" s="12"/>
      <c r="J28" s="12"/>
      <c r="K28" s="12"/>
      <c r="L28" s="12"/>
      <c r="M28" s="12"/>
      <c r="N28" s="12"/>
      <c r="O28" s="12"/>
      <c r="P28" s="12"/>
      <c r="Q28" s="12"/>
      <c r="R28" s="12"/>
      <c r="S28" s="12"/>
      <c r="T28" s="12"/>
      <c r="U28" s="12"/>
      <c r="V28" s="12"/>
      <c r="W28" s="12"/>
      <c r="X28" s="17" t="str">
        <f>Calculations!E76</f>
        <v>2022</v>
      </c>
      <c r="Y28" s="24"/>
      <c r="Z28" s="31">
        <f>Calculations!F76</f>
        <v>0.34898929572880311</v>
      </c>
      <c r="AA28" s="12"/>
      <c r="AB28" s="12"/>
      <c r="AC28" s="12"/>
      <c r="AD28" s="12"/>
    </row>
    <row r="29" spans="1:30" ht="30" customHeight="1">
      <c r="A29" s="12"/>
      <c r="B29" s="12"/>
      <c r="C29" s="12"/>
      <c r="D29" s="12"/>
      <c r="E29" s="12"/>
      <c r="F29" s="12"/>
      <c r="G29" s="12"/>
      <c r="H29" s="12"/>
      <c r="I29" s="12"/>
      <c r="J29" s="12"/>
      <c r="K29" s="12"/>
      <c r="L29" s="12"/>
      <c r="M29" s="12"/>
      <c r="N29" s="12"/>
      <c r="O29" s="12"/>
      <c r="P29" s="12"/>
      <c r="Q29" s="12"/>
      <c r="R29" s="12"/>
      <c r="S29" s="12"/>
      <c r="T29" s="12"/>
      <c r="U29" s="12"/>
      <c r="V29" s="12"/>
      <c r="W29" s="12"/>
      <c r="X29" s="18" t="str">
        <f>Calculations!E77</f>
        <v>2023</v>
      </c>
      <c r="Y29" s="23"/>
      <c r="Z29" s="30">
        <f>Calculations!F77</f>
        <v>0.14553281244228919</v>
      </c>
      <c r="AA29" s="12"/>
      <c r="AB29" s="12"/>
      <c r="AC29" s="12"/>
      <c r="AD29" s="12"/>
    </row>
    <row r="30" spans="1:30" ht="30" customHeight="1">
      <c r="A30" s="12"/>
      <c r="B30" s="12"/>
      <c r="C30" s="12"/>
      <c r="D30" s="12"/>
      <c r="E30" s="12"/>
      <c r="F30" s="12"/>
      <c r="G30" s="12"/>
      <c r="H30" s="12"/>
      <c r="I30" s="12"/>
      <c r="J30" s="12"/>
      <c r="K30" s="12"/>
      <c r="L30" s="12"/>
      <c r="M30" s="12"/>
      <c r="N30" s="12"/>
      <c r="O30" s="12"/>
      <c r="P30" s="12"/>
      <c r="Q30" s="12"/>
      <c r="R30" s="12"/>
      <c r="S30" s="12"/>
      <c r="T30" s="12"/>
      <c r="U30" s="12"/>
      <c r="V30" s="12"/>
      <c r="W30" s="12"/>
      <c r="X30" s="17" t="str">
        <f>Calculations!E78</f>
        <v>2024</v>
      </c>
      <c r="Y30" s="24"/>
      <c r="Z30" s="31">
        <f>Calculations!F78</f>
        <v>-7.8207545690531691E-2</v>
      </c>
      <c r="AA30" s="12"/>
      <c r="AB30" s="12"/>
      <c r="AC30" s="12"/>
      <c r="AD30" s="12"/>
    </row>
    <row r="31" spans="1:30" ht="30" customHeight="1">
      <c r="A31" s="12"/>
      <c r="B31" s="12"/>
      <c r="C31" s="12"/>
      <c r="D31" s="12"/>
      <c r="E31" s="12"/>
      <c r="F31" s="12"/>
      <c r="G31" s="12"/>
      <c r="H31" s="12"/>
      <c r="I31" s="12"/>
      <c r="J31" s="12"/>
      <c r="K31" s="12"/>
      <c r="L31" s="12"/>
      <c r="M31" s="12"/>
      <c r="N31" s="12"/>
      <c r="O31" s="12"/>
      <c r="P31" s="12"/>
      <c r="Q31" s="12"/>
      <c r="R31" s="12"/>
      <c r="S31" s="12"/>
      <c r="T31" s="12"/>
      <c r="U31" s="12"/>
      <c r="V31" s="12"/>
      <c r="W31" s="12"/>
      <c r="X31" s="19" t="str">
        <f>Calculations!E79</f>
        <v>2025</v>
      </c>
      <c r="Y31" s="26"/>
      <c r="Z31" s="32">
        <f>Calculations!F79</f>
        <v>-0.1843514967505944</v>
      </c>
      <c r="AA31" s="12"/>
      <c r="AB31" s="12"/>
      <c r="AC31" s="12"/>
      <c r="AD31" s="12"/>
    </row>
    <row r="32" spans="1:30" ht="13.5" customHeight="1">
      <c r="A32" s="12"/>
      <c r="B32" s="12"/>
      <c r="C32" s="12"/>
      <c r="D32" s="12"/>
      <c r="E32" s="12"/>
      <c r="F32" s="12"/>
      <c r="G32" s="12"/>
      <c r="H32" s="12"/>
      <c r="I32" s="12"/>
      <c r="J32" s="12"/>
      <c r="K32" s="12"/>
      <c r="L32" s="12"/>
      <c r="M32" s="12"/>
      <c r="N32" s="12"/>
      <c r="O32" s="12"/>
      <c r="P32" s="12"/>
      <c r="Q32" s="12"/>
      <c r="R32" s="12"/>
      <c r="S32" s="12"/>
      <c r="T32" s="12"/>
      <c r="U32" s="12"/>
      <c r="V32" s="12"/>
      <c r="W32" s="12"/>
      <c r="X32" s="12"/>
      <c r="Y32" s="12"/>
      <c r="Z32" s="12"/>
      <c r="AA32" s="12"/>
      <c r="AB32" s="12"/>
      <c r="AC32" s="12"/>
      <c r="AD32" s="12"/>
    </row>
    <row r="33" spans="1:30">
      <c r="A33" s="12"/>
      <c r="B33" s="12"/>
      <c r="C33" s="12"/>
      <c r="D33" s="12"/>
      <c r="E33" s="12"/>
      <c r="F33" s="12"/>
      <c r="G33" s="12"/>
      <c r="H33" s="12"/>
      <c r="I33" s="12"/>
      <c r="J33" s="12"/>
      <c r="K33" s="12"/>
      <c r="L33" s="12"/>
      <c r="M33" s="12"/>
      <c r="N33" s="12"/>
      <c r="O33" s="12"/>
      <c r="P33" s="12"/>
      <c r="Q33" s="12"/>
      <c r="R33" s="12"/>
      <c r="S33" s="12"/>
      <c r="T33" s="12"/>
      <c r="U33" s="12"/>
      <c r="V33" s="12"/>
      <c r="W33" s="12"/>
      <c r="X33" s="12"/>
      <c r="Y33" s="12"/>
      <c r="Z33" s="12"/>
      <c r="AA33" s="12"/>
      <c r="AB33" s="12"/>
      <c r="AC33" s="12"/>
      <c r="AD33" s="12"/>
    </row>
    <row r="34" spans="1:30">
      <c r="A34" s="12"/>
      <c r="B34" s="12"/>
      <c r="C34" s="12"/>
      <c r="D34" s="12"/>
      <c r="E34" s="12"/>
      <c r="F34" s="12"/>
      <c r="G34" s="12"/>
      <c r="H34" s="12"/>
      <c r="I34" s="12"/>
      <c r="J34" s="12"/>
      <c r="K34" s="12"/>
      <c r="L34" s="12"/>
      <c r="M34" s="12"/>
      <c r="N34" s="12"/>
      <c r="O34" s="12"/>
      <c r="P34" s="12"/>
      <c r="Q34" s="12"/>
      <c r="R34" s="12"/>
      <c r="S34" s="12"/>
      <c r="T34" s="12"/>
      <c r="U34" s="12"/>
      <c r="V34" s="12"/>
      <c r="W34" s="12"/>
      <c r="X34" s="12"/>
      <c r="Y34" s="12"/>
      <c r="Z34" s="12"/>
      <c r="AA34" s="12"/>
      <c r="AB34" s="12"/>
      <c r="AC34" s="12"/>
      <c r="AD34" s="12"/>
    </row>
    <row r="35" spans="1:30">
      <c r="A35" s="12"/>
      <c r="B35" s="12"/>
      <c r="C35" s="12"/>
      <c r="D35" s="12"/>
      <c r="E35" s="12"/>
      <c r="F35" s="12"/>
      <c r="G35" s="12"/>
      <c r="H35" s="12"/>
      <c r="I35" s="12"/>
      <c r="J35" s="12"/>
      <c r="K35" s="12"/>
      <c r="L35" s="12"/>
      <c r="M35" s="12"/>
      <c r="N35" s="12"/>
      <c r="O35" s="12"/>
      <c r="P35" s="12"/>
      <c r="Q35" s="12"/>
      <c r="R35" s="12"/>
      <c r="S35" s="12"/>
      <c r="T35" s="12"/>
      <c r="U35" s="12"/>
      <c r="V35" s="12"/>
      <c r="W35" s="12"/>
      <c r="X35" s="12"/>
      <c r="Y35" s="12"/>
      <c r="Z35" s="12"/>
      <c r="AA35" s="12"/>
      <c r="AB35" s="12"/>
      <c r="AC35" s="12"/>
      <c r="AD35" s="12"/>
    </row>
    <row r="36" spans="1:30">
      <c r="A36" s="12"/>
      <c r="B36" s="12"/>
      <c r="C36" s="12"/>
      <c r="D36" s="12"/>
      <c r="E36" s="12"/>
      <c r="F36" s="12"/>
      <c r="G36" s="12"/>
      <c r="H36" s="12"/>
      <c r="I36" s="12"/>
      <c r="J36" s="12"/>
      <c r="K36" s="12"/>
      <c r="L36" s="12"/>
      <c r="M36" s="12"/>
      <c r="N36" s="12"/>
      <c r="O36" s="12"/>
      <c r="P36" s="12"/>
      <c r="Q36" s="12"/>
      <c r="R36" s="12"/>
      <c r="S36" s="12"/>
      <c r="T36" s="12"/>
      <c r="U36" s="12"/>
      <c r="V36" s="12"/>
      <c r="W36" s="12"/>
      <c r="X36" s="12"/>
      <c r="Y36" s="12"/>
      <c r="Z36" s="12"/>
      <c r="AA36" s="12"/>
      <c r="AB36" s="12"/>
      <c r="AC36" s="12"/>
      <c r="AD36" s="12"/>
    </row>
    <row r="37" spans="1:30" hidden="1">
      <c r="A37" s="12"/>
      <c r="B37" s="12"/>
      <c r="C37" s="12"/>
      <c r="D37" s="12"/>
      <c r="E37" s="12"/>
      <c r="F37" s="12"/>
      <c r="G37" s="12"/>
      <c r="H37" s="12"/>
      <c r="I37" s="12"/>
      <c r="J37" s="12"/>
      <c r="K37" s="12"/>
      <c r="L37" s="12"/>
      <c r="M37" s="12"/>
      <c r="N37" s="12"/>
      <c r="O37" s="12"/>
      <c r="P37" s="12"/>
      <c r="Q37" s="12"/>
      <c r="R37" s="12"/>
      <c r="S37" s="12"/>
      <c r="T37" s="12"/>
      <c r="U37" s="12"/>
      <c r="V37" s="12"/>
      <c r="W37" s="12"/>
      <c r="X37" s="12"/>
      <c r="Y37" s="12"/>
      <c r="Z37" s="12"/>
      <c r="AA37" s="12"/>
      <c r="AB37" s="12"/>
      <c r="AC37" s="12"/>
      <c r="AD37" s="12"/>
    </row>
    <row r="38" spans="1:30" hidden="1">
      <c r="A38" s="12"/>
      <c r="B38" s="12"/>
      <c r="C38" s="12"/>
      <c r="D38" s="12"/>
      <c r="E38" s="12"/>
      <c r="F38" s="12"/>
      <c r="G38" s="12"/>
      <c r="H38" s="12"/>
      <c r="I38" s="12"/>
      <c r="J38" s="12"/>
      <c r="K38" s="12"/>
      <c r="L38" s="12"/>
      <c r="M38" s="12"/>
      <c r="N38" s="12"/>
      <c r="O38" s="12"/>
      <c r="P38" s="12"/>
      <c r="Q38" s="12"/>
      <c r="R38" s="12"/>
      <c r="S38" s="12"/>
      <c r="T38" s="12"/>
      <c r="U38" s="12"/>
      <c r="V38" s="12"/>
      <c r="W38" s="12"/>
      <c r="X38" s="12"/>
      <c r="Y38" s="12"/>
      <c r="Z38" s="12"/>
      <c r="AA38" s="12"/>
      <c r="AB38" s="12"/>
      <c r="AC38" s="12"/>
      <c r="AD38" s="12"/>
    </row>
    <row r="39" spans="1:30" hidden="1">
      <c r="A39" s="12"/>
      <c r="B39" s="12"/>
      <c r="C39" s="12"/>
      <c r="D39" s="12"/>
      <c r="E39" s="12"/>
      <c r="F39" s="12"/>
      <c r="G39" s="12"/>
      <c r="H39" s="12"/>
      <c r="I39" s="12"/>
      <c r="J39" s="12"/>
      <c r="K39" s="12"/>
      <c r="L39" s="12"/>
      <c r="M39" s="12"/>
      <c r="N39" s="12"/>
      <c r="O39" s="12"/>
      <c r="P39" s="12"/>
      <c r="Q39" s="12"/>
      <c r="R39" s="12"/>
      <c r="S39" s="12"/>
      <c r="T39" s="12"/>
      <c r="U39" s="12"/>
      <c r="V39" s="12"/>
      <c r="W39" s="12"/>
      <c r="X39" s="12"/>
      <c r="Y39" s="12"/>
      <c r="Z39" s="12"/>
      <c r="AA39" s="12"/>
      <c r="AB39" s="12"/>
      <c r="AC39" s="12"/>
      <c r="AD39" s="12"/>
    </row>
    <row r="40" spans="1:30" hidden="1">
      <c r="A40" s="12"/>
      <c r="B40" s="12"/>
      <c r="C40" s="12"/>
      <c r="D40" s="12"/>
      <c r="E40" s="12"/>
      <c r="F40" s="12"/>
      <c r="G40" s="12"/>
      <c r="H40" s="12"/>
      <c r="I40" s="12"/>
      <c r="J40" s="12"/>
      <c r="K40" s="12"/>
      <c r="L40" s="12"/>
      <c r="M40" s="12"/>
      <c r="N40" s="12"/>
      <c r="O40" s="12"/>
      <c r="P40" s="12"/>
      <c r="Q40" s="12"/>
      <c r="R40" s="12"/>
      <c r="S40" s="12"/>
      <c r="T40" s="12"/>
      <c r="U40" s="12"/>
      <c r="V40" s="12"/>
      <c r="W40" s="12"/>
      <c r="X40" s="12"/>
      <c r="Y40" s="12"/>
      <c r="Z40" s="12"/>
      <c r="AA40" s="12"/>
      <c r="AB40" s="12"/>
      <c r="AC40" s="12"/>
      <c r="AD40" s="12"/>
    </row>
    <row r="41" spans="1:30" hidden="1">
      <c r="A41" s="12"/>
      <c r="B41" s="12"/>
      <c r="C41" s="12"/>
      <c r="D41" s="12"/>
      <c r="E41" s="12"/>
      <c r="F41" s="12"/>
      <c r="G41" s="12"/>
      <c r="H41" s="12"/>
      <c r="I41" s="12"/>
      <c r="J41" s="12"/>
      <c r="K41" s="12"/>
      <c r="L41" s="12"/>
      <c r="M41" s="12"/>
      <c r="N41" s="12"/>
      <c r="O41" s="12"/>
      <c r="P41" s="12"/>
      <c r="Q41" s="12"/>
      <c r="R41" s="12"/>
      <c r="S41" s="12"/>
      <c r="T41" s="12"/>
      <c r="U41" s="12"/>
      <c r="V41" s="12"/>
      <c r="W41" s="12"/>
      <c r="X41" s="12"/>
      <c r="Y41" s="12"/>
      <c r="Z41" s="12"/>
      <c r="AA41" s="12"/>
      <c r="AB41" s="12"/>
      <c r="AC41" s="12"/>
      <c r="AD41" s="12"/>
    </row>
    <row r="42" spans="1:30" hidden="1">
      <c r="A42" s="12"/>
      <c r="B42" s="12"/>
      <c r="C42" s="12"/>
      <c r="D42" s="12"/>
      <c r="E42" s="12"/>
      <c r="F42" s="12"/>
      <c r="G42" s="12"/>
      <c r="H42" s="12"/>
      <c r="I42" s="12"/>
      <c r="J42" s="12"/>
      <c r="K42" s="12"/>
      <c r="L42" s="12"/>
      <c r="M42" s="12"/>
      <c r="N42" s="12"/>
      <c r="O42" s="12"/>
      <c r="P42" s="12"/>
      <c r="Q42" s="12"/>
      <c r="R42" s="12"/>
      <c r="S42" s="12"/>
      <c r="T42" s="12"/>
      <c r="U42" s="12"/>
      <c r="V42" s="12"/>
      <c r="W42" s="12"/>
      <c r="X42" s="12"/>
      <c r="Y42" s="12"/>
      <c r="Z42" s="12"/>
      <c r="AA42" s="12"/>
      <c r="AB42" s="12"/>
      <c r="AC42" s="12"/>
      <c r="AD42" s="12"/>
    </row>
    <row r="43" spans="1:30" hidden="1">
      <c r="A43" s="12"/>
      <c r="B43" s="12"/>
      <c r="C43" s="12"/>
      <c r="D43" s="12"/>
      <c r="E43" s="12"/>
      <c r="F43" s="12"/>
      <c r="G43" s="12"/>
      <c r="H43" s="12"/>
      <c r="I43" s="12"/>
      <c r="J43" s="12"/>
      <c r="K43" s="12"/>
      <c r="L43" s="12"/>
      <c r="M43" s="12"/>
      <c r="N43" s="12"/>
      <c r="O43" s="12"/>
      <c r="P43" s="12"/>
      <c r="Q43" s="12"/>
      <c r="R43" s="12"/>
      <c r="S43" s="12"/>
      <c r="T43" s="12"/>
      <c r="U43" s="12"/>
      <c r="V43" s="12"/>
      <c r="W43" s="12"/>
      <c r="X43" s="12"/>
      <c r="Y43" s="12"/>
      <c r="Z43" s="12"/>
      <c r="AA43" s="12"/>
      <c r="AB43" s="12"/>
      <c r="AC43" s="12"/>
      <c r="AD43" s="12"/>
    </row>
    <row r="44" spans="1:30" hidden="1">
      <c r="A44" s="12"/>
      <c r="B44" s="12"/>
      <c r="C44" s="12"/>
      <c r="D44" s="12"/>
      <c r="E44" s="12"/>
      <c r="F44" s="12"/>
      <c r="G44" s="12"/>
      <c r="H44" s="12"/>
      <c r="I44" s="12"/>
      <c r="J44" s="12"/>
      <c r="K44" s="12"/>
      <c r="L44" s="12"/>
      <c r="M44" s="12"/>
      <c r="N44" s="12"/>
      <c r="O44" s="12"/>
      <c r="P44" s="12"/>
      <c r="Q44" s="12"/>
      <c r="R44" s="12"/>
      <c r="S44" s="12"/>
      <c r="T44" s="12"/>
      <c r="U44" s="12"/>
      <c r="V44" s="12"/>
      <c r="W44" s="12"/>
      <c r="X44" s="12"/>
      <c r="Y44" s="12"/>
      <c r="Z44" s="12"/>
      <c r="AA44" s="12"/>
      <c r="AB44" s="12"/>
      <c r="AC44" s="12"/>
      <c r="AD44" s="12"/>
    </row>
    <row r="45" spans="1:30" hidden="1">
      <c r="A45" s="12"/>
      <c r="B45" s="12"/>
      <c r="C45" s="12"/>
      <c r="D45" s="12"/>
      <c r="E45" s="12"/>
      <c r="F45" s="12"/>
      <c r="G45" s="12"/>
      <c r="H45" s="12"/>
      <c r="I45" s="12"/>
      <c r="J45" s="12"/>
      <c r="K45" s="12"/>
      <c r="L45" s="12"/>
      <c r="M45" s="12"/>
      <c r="N45" s="12"/>
      <c r="O45" s="12"/>
      <c r="P45" s="12"/>
      <c r="Q45" s="12"/>
      <c r="R45" s="12"/>
      <c r="S45" s="12"/>
      <c r="T45" s="12"/>
      <c r="U45" s="12"/>
      <c r="V45" s="12"/>
      <c r="W45" s="12"/>
      <c r="X45" s="12"/>
      <c r="Y45" s="12"/>
      <c r="Z45" s="12"/>
      <c r="AA45" s="12"/>
      <c r="AB45" s="12"/>
      <c r="AC45" s="12"/>
      <c r="AD45" s="12"/>
    </row>
    <row r="46" spans="1:30" hidden="1"/>
    <row r="47" spans="1:30" hidden="1">
      <c r="A47" s="27">
        <v>46246</v>
      </c>
    </row>
    <row r="48" spans="1:30" hidden="1"/>
    <row r="49" spans="1:1" hidden="1"/>
    <row r="50" spans="1:1" hidden="1"/>
    <row r="51" spans="1:1" hidden="1">
      <c r="A51" s="10"/>
    </row>
  </sheetData>
  <sheetProtection sheet="1" objects="1" scenarios="1" selectLockedCells="1" autoFilter="0" pivotTables="0" selectUnlockedCells="1"/>
  <mergeCells count="3">
    <mergeCell ref="X24:Z24"/>
    <mergeCell ref="X25:Z25"/>
    <mergeCell ref="X23:Z23"/>
  </mergeCells>
  <pageMargins left="0.7" right="0.7" top="0.75" bottom="0.75" header="0.3" footer="0.3"/>
  <pageSetup orientation="landscape" horizontalDpi="300" verticalDpi="0" r:id="rId1"/>
  <drawing r:id="rId2"/>
  <extLst>
    <ext xmlns:x14="http://schemas.microsoft.com/office/spreadsheetml/2009/9/main" uri="{05C60535-1F16-4fd2-B633-F4F36F0B64E0}">
      <x14:sparklineGroups xmlns:xm="http://schemas.microsoft.com/office/excel/2006/main">
        <x14:sparklineGroup displayEmptyCellsAs="span" high="1" low="1" xr2:uid="{EA186F2E-6E05-47A0-8323-5EA71256114C}">
          <x14:colorSeries theme="1" tint="0.249977111117893"/>
          <x14:colorNegative theme="4"/>
          <x14:colorAxis rgb="FF000000"/>
          <x14:colorMarkers theme="4" tint="-0.249977111117893"/>
          <x14:colorFirst theme="4" tint="-0.249977111117893"/>
          <x14:colorLast theme="4" tint="-0.249977111117893"/>
          <x14:colorHigh theme="4" tint="-0.249977111117893"/>
          <x14:colorLow theme="1" tint="0.499984740745262"/>
          <x14:sparklines>
            <x14:sparkline>
              <xm:f>Data!G19:G30</xm:f>
              <xm:sqref>Y27</xm:sqref>
            </x14:sparkline>
            <x14:sparkline>
              <xm:f>Data!G31:G42</xm:f>
              <xm:sqref>Y28</xm:sqref>
            </x14:sparkline>
            <x14:sparkline>
              <xm:f>Data!G43:G54</xm:f>
              <xm:sqref>Y29</xm:sqref>
            </x14:sparkline>
            <x14:sparkline>
              <xm:f>Data!G55:G66</xm:f>
              <xm:sqref>Y30</xm:sqref>
            </x14:sparkline>
            <x14:sparkline>
              <xm:f>Data!G67:G78</xm:f>
              <xm:sqref>Y31</xm:sqref>
            </x14:sparkline>
          </x14:sparklines>
        </x14:sparklineGroup>
      </x14:sparklineGroups>
    </ex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Data</vt:lpstr>
      <vt:lpstr>Calculations</vt: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Tranquilli</dc:creator>
  <cp:lastModifiedBy>Kate Aldrich</cp:lastModifiedBy>
  <cp:lastPrinted>2026-04-09T15:11:40Z</cp:lastPrinted>
  <dcterms:created xsi:type="dcterms:W3CDTF">2020-06-02T15:16:03Z</dcterms:created>
  <dcterms:modified xsi:type="dcterms:W3CDTF">2026-08-12T19:03:05Z</dcterms:modified>
</cp:coreProperties>
</file>